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Dados_P1_FSP_2026_Ciro_V3_Hibr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38" i="1"/>
  <c r="I24" i="1"/>
  <c r="I23" i="1"/>
  <c r="I22" i="1"/>
  <c r="I21" i="1"/>
  <c r="I20" i="1"/>
  <c r="I19" i="1"/>
  <c r="I18" i="1"/>
  <c r="I17" i="1"/>
  <c r="I16" i="1"/>
  <c r="I25" i="1"/>
  <c r="E16" i="1"/>
  <c r="E38" i="1"/>
  <c r="E37" i="1"/>
  <c r="E36" i="1"/>
  <c r="E35" i="1"/>
  <c r="E34" i="1"/>
  <c r="E33" i="1"/>
  <c r="E32" i="1"/>
  <c r="E31" i="1"/>
  <c r="E30" i="1"/>
  <c r="E29" i="1"/>
  <c r="E25" i="1"/>
  <c r="E24" i="1"/>
  <c r="E23" i="1"/>
  <c r="E22" i="1"/>
  <c r="E21" i="1"/>
  <c r="E20" i="1"/>
  <c r="E19" i="1"/>
  <c r="E18" i="1"/>
  <c r="E17" i="1"/>
</calcChain>
</file>

<file path=xl/sharedStrings.xml><?xml version="1.0" encoding="utf-8"?>
<sst xmlns="http://schemas.openxmlformats.org/spreadsheetml/2006/main" count="117" uniqueCount="85">
  <si>
    <t>ABA 1: ARGENTINA (Série Histórica)</t>
  </si>
  <si>
    <t>Ano</t>
  </si>
  <si>
    <t>Gasto Público (% PIB)</t>
  </si>
  <si>
    <t>Déficit Fiscal (% PIB)</t>
  </si>
  <si>
    <t>Inflação (%)</t>
  </si>
  <si>
    <t>PIB Real (var. %)</t>
  </si>
  <si>
    <t>Dívida Públ. (% PIB)</t>
  </si>
  <si>
    <t>Governo</t>
  </si>
  <si>
    <t>CFK</t>
  </si>
  <si>
    <t>CFK/Macri</t>
  </si>
  <si>
    <t>Macri</t>
  </si>
  <si>
    <t>Macri/AF</t>
  </si>
  <si>
    <t>A.Fernández</t>
  </si>
  <si>
    <t>AF/Milei</t>
  </si>
  <si>
    <t>ABA 2: FORTALEZA (Dados e Fórmulas)</t>
  </si>
  <si>
    <t>Rec. Nominal (bi)</t>
  </si>
  <si>
    <t>Deflator IPCA</t>
  </si>
  <si>
    <t>Rec. Real (2023)</t>
  </si>
  <si>
    <t>Fórmula Rec. Real</t>
  </si>
  <si>
    <t>Desp. Pessoal (mi)</t>
  </si>
  <si>
    <t>RCL (bi)</t>
  </si>
  <si>
    <t>% Desp. Pessoal</t>
  </si>
  <si>
    <t>Fórmula LRF</t>
  </si>
  <si>
    <t>Status LRF</t>
  </si>
  <si>
    <t>3.82</t>
  </si>
  <si>
    <t>7.08</t>
  </si>
  <si>
    <t>46.1%</t>
  </si>
  <si>
    <t>Normal</t>
  </si>
  <si>
    <t>4.05</t>
  </si>
  <si>
    <t>7.00</t>
  </si>
  <si>
    <t>48.0%</t>
  </si>
  <si>
    <t>4.28</t>
  </si>
  <si>
    <t>6.93</t>
  </si>
  <si>
    <t>47.1%</t>
  </si>
  <si>
    <t>4.70</t>
  </si>
  <si>
    <t>7.28</t>
  </si>
  <si>
    <t>5.10</t>
  </si>
  <si>
    <t>7.55</t>
  </si>
  <si>
    <t>47.9%</t>
  </si>
  <si>
    <t>5.55</t>
  </si>
  <si>
    <t>7.82</t>
  </si>
  <si>
    <t>48.9%</t>
  </si>
  <si>
    <t>5.73</t>
  </si>
  <si>
    <t>7.83</t>
  </si>
  <si>
    <t>51.9%</t>
  </si>
  <si>
    <t>Alerta</t>
  </si>
  <si>
    <t>6.90</t>
  </si>
  <si>
    <t>8.73</t>
  </si>
  <si>
    <t>50.1%</t>
  </si>
  <si>
    <t>8.20</t>
  </si>
  <si>
    <t>9.21</t>
  </si>
  <si>
    <t>51.0%</t>
  </si>
  <si>
    <t>9.50</t>
  </si>
  <si>
    <t>53.0%</t>
  </si>
  <si>
    <t>Prudencial</t>
  </si>
  <si>
    <t>ABA 3: JUAZEIRO DO NORTE (Dados e Fórmulas)</t>
  </si>
  <si>
    <t>Rec. Nominal (mi)</t>
  </si>
  <si>
    <t>RCL (mi)</t>
  </si>
  <si>
    <t>648.6</t>
  </si>
  <si>
    <t>639.7</t>
  </si>
  <si>
    <t>631.8</t>
  </si>
  <si>
    <t>666.1</t>
  </si>
  <si>
    <t>710.9</t>
  </si>
  <si>
    <t>732.7</t>
  </si>
  <si>
    <t>772.4</t>
  </si>
  <si>
    <t>886.2</t>
  </si>
  <si>
    <t>1033.2</t>
  </si>
  <si>
    <t>1060.0</t>
  </si>
  <si>
    <t>ABA 4: REGRESSÃO E LAFFER</t>
  </si>
  <si>
    <t>Indicador</t>
  </si>
  <si>
    <t>Valor</t>
  </si>
  <si>
    <t>Fórmula/Metodologia</t>
  </si>
  <si>
    <t>Elasticidade-Receita (beta1)</t>
  </si>
  <si>
    <t>ln(Receita_Real) = beta0 + beta1 * ln(PIB_Real)</t>
  </si>
  <si>
    <t>R-Quadrado (R2)</t>
  </si>
  <si>
    <t>Medida de aderência do modelo</t>
  </si>
  <si>
    <t>Intercepto (beta0)</t>
  </si>
  <si>
    <t>-0.82</t>
  </si>
  <si>
    <t>Valor constante da regressão</t>
  </si>
  <si>
    <t>Carga Tributária Ótima (Laffer)</t>
  </si>
  <si>
    <t>1.94% - 1.99%</t>
  </si>
  <si>
    <t>Derivada da Função Quadrática: Rec = a + bT + cT^2</t>
  </si>
  <si>
    <t>Status da Arrecadação</t>
  </si>
  <si>
    <t>Pró-cíclica</t>
  </si>
  <si>
    <t>Elasticidade próxima ou superior 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</si>
</sst>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.mm"/>
    <numFmt numFmtId="165" formatCode="d\.m"/>
    <numFmt numFmtId="166" formatCode="yyyy\.m"/>
    <numFmt numFmtId="167" formatCode="0.00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9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Views>
    <sheetView tabSelected="1" workbookViewId="0">
      <selection activeCell="I36" sqref="I36"/>
    </sheetView>
  </sheetViews>
  <sheetFormatPr defaultColWidth="12.5703125" defaultRowHeight="15.75" customHeight="1" x14ac:dyDescent="0.2"/>
  <cols>
    <col min="1" max="1" width="7.42578125" customWidth="1"/>
    <col min="2" max="2" width="17.85546875" customWidth="1"/>
    <col min="3" max="3" width="19.28515625" customWidth="1"/>
    <col min="4" max="4" width="15" bestFit="1" customWidth="1"/>
    <col min="5" max="5" width="16.5703125" bestFit="1" customWidth="1"/>
    <col min="6" max="6" width="18" bestFit="1" customWidth="1"/>
    <col min="7" max="7" width="11.5703125" bestFit="1" customWidth="1"/>
    <col min="8" max="8" width="15.5703125" bestFit="1" customWidth="1"/>
    <col min="9" max="9" width="12.5703125" bestFit="1" customWidth="1"/>
    <col min="10" max="10" width="10.42578125" bestFit="1" customWidth="1"/>
  </cols>
  <sheetData>
    <row r="1" spans="1:10" x14ac:dyDescent="0.2">
      <c r="A1" s="10" t="s">
        <v>0</v>
      </c>
      <c r="B1" s="10"/>
      <c r="C1" s="10"/>
      <c r="D1" s="10"/>
      <c r="E1" s="10"/>
      <c r="F1" s="10"/>
      <c r="G1" s="10"/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x14ac:dyDescent="0.2">
      <c r="A3" s="1">
        <v>2014</v>
      </c>
      <c r="B3" s="7">
        <v>0.442</v>
      </c>
      <c r="C3" s="7">
        <v>-4.2500000000000003E-2</v>
      </c>
      <c r="D3" s="7">
        <v>0.38500000000000001</v>
      </c>
      <c r="E3" s="7">
        <v>-2.5000000000000001E-2</v>
      </c>
      <c r="F3" s="2">
        <v>0.44</v>
      </c>
      <c r="G3" s="1" t="s">
        <v>8</v>
      </c>
    </row>
    <row r="4" spans="1:10" x14ac:dyDescent="0.2">
      <c r="A4" s="1">
        <v>2015</v>
      </c>
      <c r="B4" s="7">
        <v>0.47399999999999998</v>
      </c>
      <c r="C4" s="7">
        <v>-0.06</v>
      </c>
      <c r="D4" s="7">
        <v>0.26900000000000002</v>
      </c>
      <c r="E4" s="7">
        <v>2.7E-2</v>
      </c>
      <c r="F4" s="2">
        <v>0.52</v>
      </c>
      <c r="G4" s="1" t="s">
        <v>9</v>
      </c>
    </row>
    <row r="5" spans="1:10" x14ac:dyDescent="0.2">
      <c r="A5" s="1">
        <v>2016</v>
      </c>
      <c r="B5" s="7">
        <v>0.42399999999999999</v>
      </c>
      <c r="C5" s="7">
        <v>-6.6600000000000006E-2</v>
      </c>
      <c r="D5" s="7">
        <v>0.41</v>
      </c>
      <c r="E5" s="7">
        <v>-2.1000000000000001E-2</v>
      </c>
      <c r="F5" s="2">
        <v>0.54</v>
      </c>
      <c r="G5" s="1" t="s">
        <v>10</v>
      </c>
    </row>
    <row r="6" spans="1:10" x14ac:dyDescent="0.2">
      <c r="A6" s="1">
        <v>2017</v>
      </c>
      <c r="B6" s="7">
        <v>0.41799999999999998</v>
      </c>
      <c r="C6" s="7">
        <v>-6.6900000000000001E-2</v>
      </c>
      <c r="D6" s="7">
        <v>0.25700000000000001</v>
      </c>
      <c r="E6" s="7">
        <v>2.9000000000000001E-2</v>
      </c>
      <c r="F6" s="2">
        <v>0.56999999999999995</v>
      </c>
      <c r="G6" s="1" t="s">
        <v>10</v>
      </c>
    </row>
    <row r="7" spans="1:10" x14ac:dyDescent="0.2">
      <c r="A7" s="1">
        <v>2018</v>
      </c>
      <c r="B7" s="7">
        <v>0.40300000000000002</v>
      </c>
      <c r="C7" s="7">
        <v>-5.4399999999999997E-2</v>
      </c>
      <c r="D7" s="7">
        <v>0.47599999999999998</v>
      </c>
      <c r="E7" s="7">
        <v>-2.5999999999999999E-2</v>
      </c>
      <c r="F7" s="2">
        <v>0.86</v>
      </c>
      <c r="G7" s="1" t="s">
        <v>10</v>
      </c>
    </row>
    <row r="8" spans="1:10" x14ac:dyDescent="0.2">
      <c r="A8" s="1">
        <v>2019</v>
      </c>
      <c r="B8" s="7">
        <v>0.436</v>
      </c>
      <c r="C8" s="7">
        <v>-4.3999999999999997E-2</v>
      </c>
      <c r="D8" s="7">
        <v>0.53800000000000003</v>
      </c>
      <c r="E8" s="7">
        <v>-2.1000000000000001E-2</v>
      </c>
      <c r="F8" s="2">
        <v>0.9</v>
      </c>
      <c r="G8" s="1" t="s">
        <v>11</v>
      </c>
    </row>
    <row r="9" spans="1:10" x14ac:dyDescent="0.2">
      <c r="A9" s="1">
        <v>2020</v>
      </c>
      <c r="B9" s="7">
        <v>0.495</v>
      </c>
      <c r="C9" s="7">
        <v>-8.6300000000000002E-2</v>
      </c>
      <c r="D9" s="7">
        <v>0.36099999999999999</v>
      </c>
      <c r="E9" s="7">
        <v>-9.9000000000000005E-2</v>
      </c>
      <c r="F9" s="2">
        <v>1.03</v>
      </c>
      <c r="G9" s="1" t="s">
        <v>12</v>
      </c>
    </row>
    <row r="10" spans="1:10" x14ac:dyDescent="0.2">
      <c r="A10" s="1">
        <v>2021</v>
      </c>
      <c r="B10" s="7">
        <v>0.46700000000000003</v>
      </c>
      <c r="C10" s="7">
        <v>-4.58E-2</v>
      </c>
      <c r="D10" s="7">
        <v>0.50900000000000001</v>
      </c>
      <c r="E10" s="7">
        <v>0.104</v>
      </c>
      <c r="F10" s="2">
        <v>0.8</v>
      </c>
      <c r="G10" s="1" t="s">
        <v>12</v>
      </c>
    </row>
    <row r="11" spans="1:10" x14ac:dyDescent="0.2">
      <c r="A11" s="1">
        <v>2022</v>
      </c>
      <c r="B11" s="7">
        <v>0.45</v>
      </c>
      <c r="C11" s="7">
        <v>-3.8399999999999997E-2</v>
      </c>
      <c r="D11" s="7">
        <v>0.94799999999999995</v>
      </c>
      <c r="E11" s="7">
        <v>0.05</v>
      </c>
      <c r="F11" s="2">
        <v>0.77</v>
      </c>
      <c r="G11" s="1" t="s">
        <v>12</v>
      </c>
    </row>
    <row r="12" spans="1:10" x14ac:dyDescent="0.2">
      <c r="A12" s="1">
        <v>2023</v>
      </c>
      <c r="B12" s="7">
        <v>0.41899999999999998</v>
      </c>
      <c r="C12" s="7">
        <v>-2.9000000000000001E-2</v>
      </c>
      <c r="D12" s="7">
        <v>2.1139999999999999</v>
      </c>
      <c r="E12" s="7">
        <v>-1.6E-2</v>
      </c>
      <c r="F12" s="2">
        <v>0.88</v>
      </c>
      <c r="G12" s="1" t="s">
        <v>13</v>
      </c>
    </row>
    <row r="14" spans="1:10" x14ac:dyDescent="0.2">
      <c r="A14" s="10" t="s">
        <v>14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">
      <c r="A15" s="1" t="s">
        <v>1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</row>
    <row r="16" spans="1:10" x14ac:dyDescent="0.2">
      <c r="A16" s="1">
        <v>2014</v>
      </c>
      <c r="B16" s="1" t="s">
        <v>24</v>
      </c>
      <c r="C16" s="3">
        <v>1853</v>
      </c>
      <c r="D16" s="4" t="s">
        <v>25</v>
      </c>
      <c r="E16" s="1">
        <f>B3*C3</f>
        <v>-1.8785000000000003E-2</v>
      </c>
      <c r="F16" s="8">
        <v>1.75</v>
      </c>
      <c r="G16" s="8">
        <v>3.8</v>
      </c>
      <c r="H16" s="1" t="s">
        <v>26</v>
      </c>
      <c r="I16" s="1">
        <f t="shared" ref="I16:I24" si="0">(F16/G16)*100</f>
        <v>46.05263157894737</v>
      </c>
      <c r="J16" s="1" t="s">
        <v>27</v>
      </c>
    </row>
    <row r="17" spans="1:10" x14ac:dyDescent="0.2">
      <c r="A17" s="1">
        <v>2015</v>
      </c>
      <c r="B17" s="4" t="s">
        <v>28</v>
      </c>
      <c r="C17" s="3">
        <v>1729</v>
      </c>
      <c r="D17" s="1" t="s">
        <v>29</v>
      </c>
      <c r="E17" s="1">
        <f t="shared" ref="E17:E25" si="1">B4*C4</f>
        <v>-2.8439999999999997E-2</v>
      </c>
      <c r="F17" s="8">
        <v>1.94</v>
      </c>
      <c r="G17" s="8">
        <v>4.04</v>
      </c>
      <c r="H17" s="1" t="s">
        <v>30</v>
      </c>
      <c r="I17" s="1">
        <f t="shared" si="0"/>
        <v>48.019801980198018</v>
      </c>
      <c r="J17" s="1" t="s">
        <v>27</v>
      </c>
    </row>
    <row r="18" spans="1:10" x14ac:dyDescent="0.2">
      <c r="A18" s="1">
        <v>2016</v>
      </c>
      <c r="B18" s="1" t="s">
        <v>31</v>
      </c>
      <c r="C18" s="3">
        <v>1620</v>
      </c>
      <c r="D18" s="1" t="s">
        <v>32</v>
      </c>
      <c r="E18" s="1">
        <f t="shared" si="1"/>
        <v>-2.82384E-2</v>
      </c>
      <c r="F18" s="8">
        <v>2.0099999999999998</v>
      </c>
      <c r="G18" s="8">
        <v>4.2699999999999996</v>
      </c>
      <c r="H18" s="1" t="s">
        <v>33</v>
      </c>
      <c r="I18" s="1">
        <f t="shared" si="0"/>
        <v>47.072599531615928</v>
      </c>
      <c r="J18" s="1" t="s">
        <v>27</v>
      </c>
    </row>
    <row r="19" spans="1:10" x14ac:dyDescent="0.2">
      <c r="A19" s="1">
        <v>2017</v>
      </c>
      <c r="B19" s="1" t="s">
        <v>34</v>
      </c>
      <c r="C19" s="3">
        <v>1549</v>
      </c>
      <c r="D19" s="1" t="s">
        <v>35</v>
      </c>
      <c r="E19" s="1">
        <f t="shared" si="1"/>
        <v>-2.7964199999999998E-2</v>
      </c>
      <c r="F19" s="8">
        <v>2.16</v>
      </c>
      <c r="G19" s="8">
        <v>4.6900000000000004</v>
      </c>
      <c r="H19" s="1" t="s">
        <v>26</v>
      </c>
      <c r="I19" s="1">
        <f t="shared" si="0"/>
        <v>46.055437100213219</v>
      </c>
      <c r="J19" s="1" t="s">
        <v>27</v>
      </c>
    </row>
    <row r="20" spans="1:10" x14ac:dyDescent="0.2">
      <c r="A20" s="1">
        <v>2018</v>
      </c>
      <c r="B20" s="5" t="s">
        <v>36</v>
      </c>
      <c r="C20" s="3">
        <v>1481</v>
      </c>
      <c r="D20" s="1" t="s">
        <v>37</v>
      </c>
      <c r="E20" s="1">
        <f t="shared" si="1"/>
        <v>-2.19232E-2</v>
      </c>
      <c r="F20" s="8">
        <v>2.44</v>
      </c>
      <c r="G20" s="8">
        <v>5.09</v>
      </c>
      <c r="H20" s="1" t="s">
        <v>38</v>
      </c>
      <c r="I20" s="1">
        <f t="shared" si="0"/>
        <v>47.937131630648331</v>
      </c>
      <c r="J20" s="1" t="s">
        <v>27</v>
      </c>
    </row>
    <row r="21" spans="1:10" x14ac:dyDescent="0.2">
      <c r="A21" s="1">
        <v>2019</v>
      </c>
      <c r="B21" s="1" t="s">
        <v>39</v>
      </c>
      <c r="C21" s="3">
        <v>1409</v>
      </c>
      <c r="D21" s="1" t="s">
        <v>40</v>
      </c>
      <c r="E21" s="1">
        <f t="shared" si="1"/>
        <v>-1.9184E-2</v>
      </c>
      <c r="F21" s="8">
        <v>2.71</v>
      </c>
      <c r="G21" s="8">
        <v>5.54</v>
      </c>
      <c r="H21" s="1" t="s">
        <v>41</v>
      </c>
      <c r="I21" s="1">
        <f t="shared" si="0"/>
        <v>48.91696750902527</v>
      </c>
      <c r="J21" s="1" t="s">
        <v>27</v>
      </c>
    </row>
    <row r="22" spans="1:10" x14ac:dyDescent="0.2">
      <c r="A22" s="1">
        <v>2020</v>
      </c>
      <c r="B22" s="1" t="s">
        <v>42</v>
      </c>
      <c r="C22" s="3">
        <v>1367</v>
      </c>
      <c r="D22" s="1" t="s">
        <v>43</v>
      </c>
      <c r="E22" s="1">
        <f t="shared" si="1"/>
        <v>-4.27185E-2</v>
      </c>
      <c r="F22" s="8">
        <v>2.97</v>
      </c>
      <c r="G22" s="8">
        <v>5.72</v>
      </c>
      <c r="H22" s="1" t="s">
        <v>44</v>
      </c>
      <c r="I22" s="1">
        <f t="shared" si="0"/>
        <v>51.923076923076927</v>
      </c>
      <c r="J22" s="1" t="s">
        <v>45</v>
      </c>
    </row>
    <row r="23" spans="1:10" x14ac:dyDescent="0.2">
      <c r="A23" s="1">
        <v>2021</v>
      </c>
      <c r="B23" s="1" t="s">
        <v>46</v>
      </c>
      <c r="C23" s="3">
        <v>1266</v>
      </c>
      <c r="D23" s="1" t="s">
        <v>47</v>
      </c>
      <c r="E23" s="1">
        <f t="shared" si="1"/>
        <v>-2.1388600000000001E-2</v>
      </c>
      <c r="F23" s="8">
        <v>3.45</v>
      </c>
      <c r="G23" s="8">
        <v>6.89</v>
      </c>
      <c r="H23" s="1" t="s">
        <v>48</v>
      </c>
      <c r="I23" s="1">
        <f t="shared" si="0"/>
        <v>50.072568940493476</v>
      </c>
      <c r="J23" s="1" t="s">
        <v>27</v>
      </c>
    </row>
    <row r="24" spans="1:10" x14ac:dyDescent="0.2">
      <c r="A24" s="1">
        <v>2022</v>
      </c>
      <c r="B24" s="1" t="s">
        <v>49</v>
      </c>
      <c r="C24" s="3">
        <v>1123</v>
      </c>
      <c r="D24" s="1" t="s">
        <v>50</v>
      </c>
      <c r="E24" s="1">
        <f t="shared" si="1"/>
        <v>-1.728E-2</v>
      </c>
      <c r="F24" s="8">
        <v>4.18</v>
      </c>
      <c r="G24" s="8">
        <v>8.19</v>
      </c>
      <c r="H24" s="1" t="s">
        <v>51</v>
      </c>
      <c r="I24" s="1">
        <f t="shared" si="0"/>
        <v>51.037851037851034</v>
      </c>
      <c r="J24" s="1" t="s">
        <v>27</v>
      </c>
    </row>
    <row r="25" spans="1:10" x14ac:dyDescent="0.2">
      <c r="A25" s="1">
        <v>2023</v>
      </c>
      <c r="B25" s="1" t="s">
        <v>52</v>
      </c>
      <c r="C25" s="3">
        <v>1000</v>
      </c>
      <c r="D25" s="1" t="s">
        <v>52</v>
      </c>
      <c r="E25" s="1">
        <f t="shared" si="1"/>
        <v>-1.2151E-2</v>
      </c>
      <c r="F25" s="8">
        <v>5.03</v>
      </c>
      <c r="G25" s="8">
        <v>9.49</v>
      </c>
      <c r="H25" s="1" t="s">
        <v>53</v>
      </c>
      <c r="I25" s="1">
        <f>(F25/G25)*100</f>
        <v>53.003161222339301</v>
      </c>
      <c r="J25" s="1" t="s">
        <v>54</v>
      </c>
    </row>
    <row r="27" spans="1:10" x14ac:dyDescent="0.2">
      <c r="A27" s="10" t="s">
        <v>55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2">
      <c r="A28" s="1" t="s">
        <v>1</v>
      </c>
      <c r="B28" s="1" t="s">
        <v>56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57</v>
      </c>
      <c r="H28" s="1" t="s">
        <v>21</v>
      </c>
      <c r="I28" s="1" t="s">
        <v>22</v>
      </c>
      <c r="J28" s="1" t="s">
        <v>23</v>
      </c>
    </row>
    <row r="29" spans="1:10" x14ac:dyDescent="0.2">
      <c r="A29" s="1">
        <v>2014</v>
      </c>
      <c r="B29" s="1">
        <v>350</v>
      </c>
      <c r="C29" s="3">
        <v>1853</v>
      </c>
      <c r="D29" s="1" t="s">
        <v>58</v>
      </c>
      <c r="E29" s="1">
        <f t="shared" ref="E29:E38" si="2">B3*C3</f>
        <v>-1.8785000000000003E-2</v>
      </c>
      <c r="F29" s="1">
        <v>154</v>
      </c>
      <c r="G29" s="1">
        <v>350</v>
      </c>
      <c r="H29" s="2">
        <v>0.44</v>
      </c>
      <c r="I29" s="1">
        <f t="shared" ref="I29:I37" si="3">(F29/G29)*100</f>
        <v>44</v>
      </c>
      <c r="J29" s="1" t="s">
        <v>27</v>
      </c>
    </row>
    <row r="30" spans="1:10" x14ac:dyDescent="0.2">
      <c r="A30" s="1">
        <v>2015</v>
      </c>
      <c r="B30" s="1">
        <v>370</v>
      </c>
      <c r="C30" s="3">
        <v>1729</v>
      </c>
      <c r="D30" s="1" t="s">
        <v>59</v>
      </c>
      <c r="E30" s="1">
        <f t="shared" si="2"/>
        <v>-2.8439999999999997E-2</v>
      </c>
      <c r="F30" s="1">
        <v>167</v>
      </c>
      <c r="G30" s="1">
        <v>370</v>
      </c>
      <c r="H30" s="2">
        <v>0.45</v>
      </c>
      <c r="I30" s="1">
        <f t="shared" si="3"/>
        <v>45.135135135135137</v>
      </c>
      <c r="J30" s="1" t="s">
        <v>27</v>
      </c>
    </row>
    <row r="31" spans="1:10" x14ac:dyDescent="0.2">
      <c r="A31" s="1">
        <v>2016</v>
      </c>
      <c r="B31" s="1">
        <v>390</v>
      </c>
      <c r="C31" s="3">
        <v>1620</v>
      </c>
      <c r="D31" s="1" t="s">
        <v>60</v>
      </c>
      <c r="E31" s="1">
        <f t="shared" si="2"/>
        <v>-2.82384E-2</v>
      </c>
      <c r="F31" s="1">
        <v>179</v>
      </c>
      <c r="G31" s="1">
        <v>390</v>
      </c>
      <c r="H31" s="2">
        <v>0.46</v>
      </c>
      <c r="I31" s="1">
        <f t="shared" si="3"/>
        <v>45.897435897435898</v>
      </c>
      <c r="J31" s="1" t="s">
        <v>27</v>
      </c>
    </row>
    <row r="32" spans="1:10" x14ac:dyDescent="0.2">
      <c r="A32" s="1">
        <v>2017</v>
      </c>
      <c r="B32" s="1">
        <v>430</v>
      </c>
      <c r="C32" s="3">
        <v>1549</v>
      </c>
      <c r="D32" s="1" t="s">
        <v>61</v>
      </c>
      <c r="E32" s="1">
        <f t="shared" si="2"/>
        <v>-2.7964199999999998E-2</v>
      </c>
      <c r="F32" s="1">
        <v>194</v>
      </c>
      <c r="G32" s="1">
        <v>430</v>
      </c>
      <c r="H32" s="2">
        <v>0.45</v>
      </c>
      <c r="I32" s="1">
        <f t="shared" si="3"/>
        <v>45.116279069767437</v>
      </c>
      <c r="J32" s="1" t="s">
        <v>27</v>
      </c>
    </row>
    <row r="33" spans="1:10" x14ac:dyDescent="0.2">
      <c r="A33" s="1">
        <v>2018</v>
      </c>
      <c r="B33" s="1">
        <v>480</v>
      </c>
      <c r="C33" s="3">
        <v>1481</v>
      </c>
      <c r="D33" s="1" t="s">
        <v>62</v>
      </c>
      <c r="E33" s="1">
        <f t="shared" si="2"/>
        <v>-2.19232E-2</v>
      </c>
      <c r="F33" s="1">
        <v>221</v>
      </c>
      <c r="G33" s="1">
        <v>480</v>
      </c>
      <c r="H33" s="2">
        <v>0.46</v>
      </c>
      <c r="I33" s="1">
        <f t="shared" si="3"/>
        <v>46.041666666666664</v>
      </c>
      <c r="J33" s="1" t="s">
        <v>27</v>
      </c>
    </row>
    <row r="34" spans="1:10" x14ac:dyDescent="0.2">
      <c r="A34" s="1">
        <v>2019</v>
      </c>
      <c r="B34" s="1">
        <v>520</v>
      </c>
      <c r="C34" s="3">
        <v>1409</v>
      </c>
      <c r="D34" s="1" t="s">
        <v>63</v>
      </c>
      <c r="E34" s="1">
        <f t="shared" si="2"/>
        <v>-1.9184E-2</v>
      </c>
      <c r="F34" s="1">
        <v>244</v>
      </c>
      <c r="G34" s="1">
        <v>520</v>
      </c>
      <c r="H34" s="2">
        <v>0.47</v>
      </c>
      <c r="I34" s="1">
        <f t="shared" si="3"/>
        <v>46.92307692307692</v>
      </c>
      <c r="J34" s="1" t="s">
        <v>27</v>
      </c>
    </row>
    <row r="35" spans="1:10" x14ac:dyDescent="0.2">
      <c r="A35" s="1">
        <v>2020</v>
      </c>
      <c r="B35" s="1">
        <v>565</v>
      </c>
      <c r="C35" s="3">
        <v>1367</v>
      </c>
      <c r="D35" s="1" t="s">
        <v>64</v>
      </c>
      <c r="E35" s="1">
        <f t="shared" si="2"/>
        <v>-4.27185E-2</v>
      </c>
      <c r="F35" s="1">
        <v>277</v>
      </c>
      <c r="G35" s="1">
        <v>565</v>
      </c>
      <c r="H35" s="2">
        <v>0.49</v>
      </c>
      <c r="I35" s="1">
        <f t="shared" si="3"/>
        <v>49.026548672566371</v>
      </c>
      <c r="J35" s="1" t="s">
        <v>27</v>
      </c>
    </row>
    <row r="36" spans="1:10" x14ac:dyDescent="0.2">
      <c r="A36" s="1">
        <v>2021</v>
      </c>
      <c r="B36" s="1">
        <v>700</v>
      </c>
      <c r="C36" s="3">
        <v>1266</v>
      </c>
      <c r="D36" s="1" t="s">
        <v>65</v>
      </c>
      <c r="E36" s="1">
        <f t="shared" si="2"/>
        <v>-2.1388600000000001E-2</v>
      </c>
      <c r="F36" s="1">
        <v>329</v>
      </c>
      <c r="G36" s="1">
        <v>700</v>
      </c>
      <c r="H36" s="2">
        <v>0.47</v>
      </c>
      <c r="I36" s="9">
        <f t="shared" si="3"/>
        <v>47</v>
      </c>
      <c r="J36" s="1" t="s">
        <v>27</v>
      </c>
    </row>
    <row r="37" spans="1:10" x14ac:dyDescent="0.2">
      <c r="A37" s="1">
        <v>2022</v>
      </c>
      <c r="B37" s="1">
        <v>920</v>
      </c>
      <c r="C37" s="3">
        <v>1123</v>
      </c>
      <c r="D37" s="6" t="s">
        <v>66</v>
      </c>
      <c r="E37" s="1">
        <f t="shared" si="2"/>
        <v>-1.728E-2</v>
      </c>
      <c r="F37" s="1">
        <v>423</v>
      </c>
      <c r="G37" s="1">
        <v>920</v>
      </c>
      <c r="H37" s="2">
        <v>0.46</v>
      </c>
      <c r="I37" s="1">
        <f t="shared" si="3"/>
        <v>45.978260869565219</v>
      </c>
      <c r="J37" s="1" t="s">
        <v>27</v>
      </c>
    </row>
    <row r="38" spans="1:10" x14ac:dyDescent="0.2">
      <c r="A38" s="1">
        <v>2023</v>
      </c>
      <c r="B38" s="1">
        <v>1060</v>
      </c>
      <c r="C38" s="3">
        <v>1000</v>
      </c>
      <c r="D38" s="1" t="s">
        <v>67</v>
      </c>
      <c r="E38" s="1">
        <f t="shared" si="2"/>
        <v>-1.2151E-2</v>
      </c>
      <c r="F38" s="1">
        <v>498</v>
      </c>
      <c r="G38" s="1">
        <v>1060</v>
      </c>
      <c r="H38" s="2">
        <v>0.47</v>
      </c>
      <c r="I38" s="1">
        <f>(F38/G38)*100</f>
        <v>46.981132075471699</v>
      </c>
      <c r="J38" s="1" t="s">
        <v>27</v>
      </c>
    </row>
    <row r="40" spans="1:10" x14ac:dyDescent="0.2">
      <c r="A40" s="10" t="s">
        <v>68</v>
      </c>
      <c r="B40" s="10"/>
      <c r="C40" s="10"/>
    </row>
    <row r="41" spans="1:10" x14ac:dyDescent="0.2">
      <c r="A41" s="1" t="s">
        <v>69</v>
      </c>
      <c r="B41" s="1" t="s">
        <v>70</v>
      </c>
      <c r="C41" s="1" t="s">
        <v>71</v>
      </c>
    </row>
    <row r="42" spans="1:10" x14ac:dyDescent="0.2">
      <c r="A42" s="1" t="s">
        <v>72</v>
      </c>
      <c r="B42" s="4">
        <v>46235</v>
      </c>
      <c r="C42" s="1" t="s">
        <v>73</v>
      </c>
    </row>
    <row r="43" spans="1:10" x14ac:dyDescent="0.2">
      <c r="A43" s="1" t="s">
        <v>74</v>
      </c>
      <c r="B43" s="3">
        <v>968</v>
      </c>
      <c r="C43" s="1" t="s">
        <v>75</v>
      </c>
    </row>
    <row r="44" spans="1:10" x14ac:dyDescent="0.2">
      <c r="A44" s="1" t="s">
        <v>76</v>
      </c>
      <c r="B44" s="1" t="s">
        <v>77</v>
      </c>
      <c r="C44" s="1" t="s">
        <v>78</v>
      </c>
    </row>
    <row r="45" spans="1:10" x14ac:dyDescent="0.2">
      <c r="A45" s="1" t="s">
        <v>79</v>
      </c>
      <c r="B45" s="1" t="s">
        <v>80</v>
      </c>
      <c r="C45" s="1" t="s">
        <v>81</v>
      </c>
    </row>
    <row r="46" spans="1:10" x14ac:dyDescent="0.2">
      <c r="A46" s="1" t="s">
        <v>82</v>
      </c>
      <c r="B46" s="1" t="s">
        <v>83</v>
      </c>
      <c r="C46" s="1" t="s">
        <v>84</v>
      </c>
    </row>
  </sheetData>
  <mergeCells count="4">
    <mergeCell ref="A1:G1"/>
    <mergeCell ref="A14:J14"/>
    <mergeCell ref="A27:J27"/>
    <mergeCell ref="A40:C4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Dados_P1_FSP_2026_Ciro_V3_Hibri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Costa</dc:creator>
  <cp:lastModifiedBy>Windows10</cp:lastModifiedBy>
  <cp:revision/>
  <dcterms:created xsi:type="dcterms:W3CDTF">2026-05-10T00:48:11Z</dcterms:created>
  <dcterms:modified xsi:type="dcterms:W3CDTF">2026-10-24T01:18:39Z</dcterms:modified>
</cp:coreProperties>
</file>