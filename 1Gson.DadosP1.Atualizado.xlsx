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/>
  </bookViews>
  <sheets>
    <sheet name="Dados_P1_FSP_2026_Ciro_V3_Hibri" sheetId="1" r:id="rId1"/>
    <sheet name="Planilha2" sheetId="2" r:id="rId2"/>
    <sheet name="Dados brutos atualizados" sheetId="3" r:id="rId3"/>
    <sheet name="Deflatores" sheetId="4" r:id="rId4"/>
    <sheet name="Dados tratados" sheetId="5" r:id="rId5"/>
    <sheet name="IDEB" sheetId="6" r:id="rId6"/>
    <sheet name="Comparação legado" sheetId="7" r:id="rId7"/>
    <sheet name="Registro alterações" sheetId="8" r:id="rId8"/>
    <sheet name="Metadados" sheetId="9" r:id="rId9"/>
    <sheet name="Procedimentos" sheetId="10" r:id="rId10"/>
  </sheets>
  <definedNames>
    <definedName name="_xlnm._FilterDatabase" localSheetId="6" hidden="1">'Comparação legado'!$A$1:$J$135</definedName>
    <definedName name="_xlnm._FilterDatabase" localSheetId="2" hidden="1">'Dados brutos atualizados'!$A$1:$L$671</definedName>
    <definedName name="_xlnm._FilterDatabase" localSheetId="4" hidden="1">'Dados tratados'!$A$1:$N$591</definedName>
    <definedName name="_xlnm._FilterDatabase" localSheetId="0" hidden="1">Dados_P1_FSP_2026_Ciro_V3_Hibri!$A$1:$J$46</definedName>
    <definedName name="_xlnm._FilterDatabase" localSheetId="3" hidden="1">Deflatores!$A$1:$G$23</definedName>
    <definedName name="_xlnm._FilterDatabase" localSheetId="5" hidden="1">IDEB!$A$1:$J$45</definedName>
    <definedName name="_xlnm._FilterDatabase" localSheetId="8" hidden="1">Metadados!$A$1:$J$25</definedName>
    <definedName name="_xlnm._FilterDatabase" localSheetId="1" hidden="1">Planilha2!$A$1:$AG$37</definedName>
    <definedName name="_xlnm._FilterDatabase" localSheetId="9" hidden="1">Procedimentos!$A$1:$B$18</definedName>
    <definedName name="_xlnm._FilterDatabase" localSheetId="7" hidden="1">'Registro alterações'!$A$1:$B$16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5" i="6" l="1"/>
  <c r="E45" i="6"/>
  <c r="G45" i="6" s="1"/>
  <c r="H45" i="6" s="1"/>
  <c r="F44" i="6"/>
  <c r="E44" i="6"/>
  <c r="G44" i="6" s="1"/>
  <c r="H44" i="6" s="1"/>
  <c r="F43" i="6"/>
  <c r="E43" i="6"/>
  <c r="G43" i="6" s="1"/>
  <c r="H43" i="6" s="1"/>
  <c r="F42" i="6"/>
  <c r="E42" i="6"/>
  <c r="G42" i="6" s="1"/>
  <c r="H42" i="6" s="1"/>
  <c r="F41" i="6"/>
  <c r="E41" i="6"/>
  <c r="G41" i="6" s="1"/>
  <c r="H41" i="6" s="1"/>
  <c r="F40" i="6"/>
  <c r="E40" i="6"/>
  <c r="G40" i="6" s="1"/>
  <c r="H40" i="6" s="1"/>
  <c r="F39" i="6"/>
  <c r="E39" i="6"/>
  <c r="G39" i="6" s="1"/>
  <c r="H39" i="6" s="1"/>
  <c r="F38" i="6"/>
  <c r="E38" i="6"/>
  <c r="G38" i="6" s="1"/>
  <c r="H38" i="6" s="1"/>
  <c r="F37" i="6"/>
  <c r="E37" i="6"/>
  <c r="G37" i="6" s="1"/>
  <c r="H37" i="6" s="1"/>
  <c r="F36" i="6"/>
  <c r="E36" i="6"/>
  <c r="G36" i="6" s="1"/>
  <c r="H36" i="6" s="1"/>
  <c r="F35" i="6"/>
  <c r="E35" i="6"/>
  <c r="G35" i="6" s="1"/>
  <c r="H35" i="6" s="1"/>
  <c r="F34" i="6"/>
  <c r="E34" i="6"/>
  <c r="G34" i="6" s="1"/>
  <c r="H34" i="6" s="1"/>
  <c r="F33" i="6"/>
  <c r="E33" i="6"/>
  <c r="G33" i="6" s="1"/>
  <c r="H33" i="6" s="1"/>
  <c r="F32" i="6"/>
  <c r="E32" i="6"/>
  <c r="G32" i="6" s="1"/>
  <c r="H32" i="6" s="1"/>
  <c r="F31" i="6"/>
  <c r="E31" i="6"/>
  <c r="G31" i="6" s="1"/>
  <c r="H31" i="6" s="1"/>
  <c r="F30" i="6"/>
  <c r="E30" i="6"/>
  <c r="G30" i="6" s="1"/>
  <c r="H30" i="6" s="1"/>
  <c r="F29" i="6"/>
  <c r="E29" i="6"/>
  <c r="G29" i="6" s="1"/>
  <c r="H29" i="6" s="1"/>
  <c r="F28" i="6"/>
  <c r="E28" i="6"/>
  <c r="G28" i="6" s="1"/>
  <c r="H28" i="6" s="1"/>
  <c r="F27" i="6"/>
  <c r="E27" i="6"/>
  <c r="G27" i="6" s="1"/>
  <c r="H27" i="6" s="1"/>
  <c r="F26" i="6"/>
  <c r="E26" i="6"/>
  <c r="G26" i="6" s="1"/>
  <c r="H26" i="6" s="1"/>
  <c r="F25" i="6"/>
  <c r="E25" i="6"/>
  <c r="G25" i="6" s="1"/>
  <c r="H25" i="6" s="1"/>
  <c r="F24" i="6"/>
  <c r="E24" i="6"/>
  <c r="G24" i="6" s="1"/>
  <c r="H24" i="6" s="1"/>
  <c r="F23" i="6"/>
  <c r="E23" i="6"/>
  <c r="G23" i="6" s="1"/>
  <c r="H23" i="6" s="1"/>
  <c r="F22" i="6"/>
  <c r="E22" i="6"/>
  <c r="G22" i="6" s="1"/>
  <c r="H22" i="6" s="1"/>
  <c r="F21" i="6"/>
  <c r="E21" i="6"/>
  <c r="G21" i="6" s="1"/>
  <c r="H21" i="6" s="1"/>
  <c r="F20" i="6"/>
  <c r="E20" i="6"/>
  <c r="G20" i="6" s="1"/>
  <c r="H20" i="6" s="1"/>
  <c r="F19" i="6"/>
  <c r="E19" i="6"/>
  <c r="G19" i="6" s="1"/>
  <c r="H19" i="6" s="1"/>
  <c r="F18" i="6"/>
  <c r="E18" i="6"/>
  <c r="G18" i="6" s="1"/>
  <c r="H18" i="6" s="1"/>
  <c r="F17" i="6"/>
  <c r="E17" i="6"/>
  <c r="G17" i="6" s="1"/>
  <c r="H17" i="6" s="1"/>
  <c r="F16" i="6"/>
  <c r="E16" i="6"/>
  <c r="G16" i="6" s="1"/>
  <c r="H16" i="6" s="1"/>
  <c r="F15" i="6"/>
  <c r="E15" i="6"/>
  <c r="G15" i="6" s="1"/>
  <c r="H15" i="6" s="1"/>
  <c r="F14" i="6"/>
  <c r="E14" i="6"/>
  <c r="G14" i="6" s="1"/>
  <c r="H14" i="6" s="1"/>
  <c r="F13" i="6"/>
  <c r="E13" i="6"/>
  <c r="G13" i="6" s="1"/>
  <c r="H13" i="6" s="1"/>
  <c r="F12" i="6"/>
  <c r="E12" i="6"/>
  <c r="G12" i="6" s="1"/>
  <c r="H12" i="6" s="1"/>
  <c r="F11" i="6"/>
  <c r="E11" i="6"/>
  <c r="G11" i="6" s="1"/>
  <c r="H11" i="6" s="1"/>
  <c r="F10" i="6"/>
  <c r="E10" i="6"/>
  <c r="G10" i="6" s="1"/>
  <c r="H10" i="6" s="1"/>
  <c r="F9" i="6"/>
  <c r="E9" i="6"/>
  <c r="G9" i="6" s="1"/>
  <c r="H9" i="6" s="1"/>
  <c r="F8" i="6"/>
  <c r="E8" i="6"/>
  <c r="G8" i="6" s="1"/>
  <c r="H8" i="6" s="1"/>
  <c r="F7" i="6"/>
  <c r="E7" i="6"/>
  <c r="G7" i="6" s="1"/>
  <c r="H7" i="6" s="1"/>
  <c r="F6" i="6"/>
  <c r="E6" i="6"/>
  <c r="G6" i="6" s="1"/>
  <c r="H6" i="6" s="1"/>
  <c r="F5" i="6"/>
  <c r="E5" i="6"/>
  <c r="G5" i="6" s="1"/>
  <c r="H5" i="6" s="1"/>
  <c r="F4" i="6"/>
  <c r="E4" i="6"/>
  <c r="G4" i="6" s="1"/>
  <c r="H4" i="6" s="1"/>
  <c r="F3" i="6"/>
  <c r="E3" i="6"/>
  <c r="G3" i="6" s="1"/>
  <c r="H3" i="6" s="1"/>
  <c r="F2" i="6"/>
  <c r="E2" i="6"/>
  <c r="G2" i="6" s="1"/>
  <c r="H2" i="6" s="1"/>
  <c r="D591" i="5"/>
  <c r="E590" i="5"/>
  <c r="D590" i="5"/>
  <c r="H589" i="5"/>
  <c r="D589" i="5"/>
  <c r="E589" i="5" s="1"/>
  <c r="H587" i="5"/>
  <c r="D587" i="5"/>
  <c r="E587" i="5" s="1"/>
  <c r="E586" i="5"/>
  <c r="D586" i="5"/>
  <c r="H585" i="5"/>
  <c r="D585" i="5"/>
  <c r="E585" i="5" s="1"/>
  <c r="J584" i="5"/>
  <c r="E584" i="5"/>
  <c r="H590" i="5" s="1"/>
  <c r="D584" i="5"/>
  <c r="J583" i="5"/>
  <c r="E583" i="5"/>
  <c r="D583" i="5"/>
  <c r="E582" i="5"/>
  <c r="D582" i="5"/>
  <c r="J582" i="5" s="1"/>
  <c r="J581" i="5"/>
  <c r="D581" i="5"/>
  <c r="E581" i="5" s="1"/>
  <c r="J580" i="5"/>
  <c r="E580" i="5"/>
  <c r="D580" i="5"/>
  <c r="E579" i="5"/>
  <c r="D579" i="5"/>
  <c r="J579" i="5" s="1"/>
  <c r="E578" i="5"/>
  <c r="D578" i="5"/>
  <c r="J578" i="5" s="1"/>
  <c r="E577" i="5"/>
  <c r="D577" i="5"/>
  <c r="H576" i="5"/>
  <c r="E576" i="5"/>
  <c r="D576" i="5"/>
  <c r="E575" i="5"/>
  <c r="D575" i="5"/>
  <c r="H574" i="5"/>
  <c r="E574" i="5"/>
  <c r="D574" i="5"/>
  <c r="D573" i="5"/>
  <c r="E573" i="5" s="1"/>
  <c r="D572" i="5"/>
  <c r="E572" i="5" s="1"/>
  <c r="H571" i="5"/>
  <c r="E571" i="5"/>
  <c r="D571" i="5"/>
  <c r="D570" i="5"/>
  <c r="E570" i="5" s="1"/>
  <c r="D569" i="5"/>
  <c r="E569" i="5" s="1"/>
  <c r="E567" i="5"/>
  <c r="D567" i="5"/>
  <c r="D566" i="5"/>
  <c r="E566" i="5" s="1"/>
  <c r="D565" i="5"/>
  <c r="E565" i="5" s="1"/>
  <c r="D564" i="5"/>
  <c r="J564" i="5" s="1"/>
  <c r="E563" i="5"/>
  <c r="D563" i="5"/>
  <c r="D562" i="5"/>
  <c r="E562" i="5" s="1"/>
  <c r="E561" i="5"/>
  <c r="D561" i="5"/>
  <c r="D560" i="5"/>
  <c r="E560" i="5" s="1"/>
  <c r="E559" i="5"/>
  <c r="D559" i="5"/>
  <c r="J558" i="5"/>
  <c r="D558" i="5"/>
  <c r="E558" i="5" s="1"/>
  <c r="D557" i="5"/>
  <c r="E557" i="5" s="1"/>
  <c r="D556" i="5"/>
  <c r="E556" i="5" s="1"/>
  <c r="E555" i="5"/>
  <c r="D555" i="5"/>
  <c r="D553" i="5"/>
  <c r="E553" i="5" s="1"/>
  <c r="D552" i="5"/>
  <c r="E552" i="5" s="1"/>
  <c r="D551" i="5"/>
  <c r="E551" i="5" s="1"/>
  <c r="E550" i="5"/>
  <c r="H538" i="5" s="1"/>
  <c r="D550" i="5"/>
  <c r="J550" i="5" s="1"/>
  <c r="D549" i="5"/>
  <c r="E549" i="5" s="1"/>
  <c r="E548" i="5"/>
  <c r="D548" i="5"/>
  <c r="D547" i="5"/>
  <c r="J547" i="5" s="1"/>
  <c r="D546" i="5"/>
  <c r="J546" i="5" s="1"/>
  <c r="D545" i="5"/>
  <c r="E545" i="5" s="1"/>
  <c r="J544" i="5"/>
  <c r="E544" i="5"/>
  <c r="D544" i="5"/>
  <c r="J543" i="5"/>
  <c r="D543" i="5"/>
  <c r="E543" i="5" s="1"/>
  <c r="D542" i="5"/>
  <c r="J542" i="5" s="1"/>
  <c r="E541" i="5"/>
  <c r="D541" i="5"/>
  <c r="D540" i="5"/>
  <c r="E540" i="5" s="1"/>
  <c r="E539" i="5"/>
  <c r="D539" i="5"/>
  <c r="D538" i="5"/>
  <c r="E538" i="5" s="1"/>
  <c r="E537" i="5"/>
  <c r="D537" i="5"/>
  <c r="J536" i="5"/>
  <c r="D536" i="5"/>
  <c r="E536" i="5" s="1"/>
  <c r="D535" i="5"/>
  <c r="E535" i="5" s="1"/>
  <c r="D534" i="5"/>
  <c r="E534" i="5" s="1"/>
  <c r="H533" i="5"/>
  <c r="E533" i="5"/>
  <c r="D533" i="5"/>
  <c r="H532" i="5"/>
  <c r="D531" i="5"/>
  <c r="E531" i="5" s="1"/>
  <c r="D530" i="5"/>
  <c r="E530" i="5" s="1"/>
  <c r="E529" i="5"/>
  <c r="D529" i="5"/>
  <c r="E528" i="5"/>
  <c r="H534" i="5" s="1"/>
  <c r="D528" i="5"/>
  <c r="J528" i="5" s="1"/>
  <c r="D527" i="5"/>
  <c r="E527" i="5" s="1"/>
  <c r="E526" i="5"/>
  <c r="D526" i="5"/>
  <c r="D525" i="5"/>
  <c r="E525" i="5" s="1"/>
  <c r="E524" i="5"/>
  <c r="D524" i="5"/>
  <c r="D523" i="5"/>
  <c r="E523" i="5" s="1"/>
  <c r="E522" i="5"/>
  <c r="D522" i="5"/>
  <c r="E521" i="5"/>
  <c r="D521" i="5"/>
  <c r="J520" i="5"/>
  <c r="D520" i="5"/>
  <c r="E520" i="5" s="1"/>
  <c r="D519" i="5"/>
  <c r="E519" i="5" s="1"/>
  <c r="H518" i="5"/>
  <c r="E518" i="5"/>
  <c r="D518" i="5"/>
  <c r="H517" i="5"/>
  <c r="D517" i="5"/>
  <c r="E517" i="5" s="1"/>
  <c r="D515" i="5"/>
  <c r="E515" i="5" s="1"/>
  <c r="H514" i="5"/>
  <c r="E514" i="5"/>
  <c r="D514" i="5"/>
  <c r="H513" i="5"/>
  <c r="D513" i="5"/>
  <c r="E513" i="5" s="1"/>
  <c r="J512" i="5"/>
  <c r="E512" i="5"/>
  <c r="D512" i="5"/>
  <c r="E511" i="5"/>
  <c r="D511" i="5"/>
  <c r="H510" i="5"/>
  <c r="E510" i="5"/>
  <c r="D510" i="5"/>
  <c r="J509" i="5"/>
  <c r="D509" i="5"/>
  <c r="E509" i="5" s="1"/>
  <c r="J508" i="5"/>
  <c r="E508" i="5"/>
  <c r="D508" i="5"/>
  <c r="E507" i="5"/>
  <c r="D507" i="5"/>
  <c r="J507" i="5" s="1"/>
  <c r="E506" i="5"/>
  <c r="D506" i="5"/>
  <c r="J506" i="5" s="1"/>
  <c r="J505" i="5"/>
  <c r="D505" i="5"/>
  <c r="E505" i="5" s="1"/>
  <c r="J504" i="5"/>
  <c r="E504" i="5"/>
  <c r="D504" i="5"/>
  <c r="H503" i="5"/>
  <c r="E503" i="5"/>
  <c r="D503" i="5"/>
  <c r="E502" i="5"/>
  <c r="D502" i="5"/>
  <c r="H501" i="5"/>
  <c r="E501" i="5"/>
  <c r="D501" i="5"/>
  <c r="E500" i="5"/>
  <c r="D500" i="5"/>
  <c r="E499" i="5"/>
  <c r="D499" i="5"/>
  <c r="E498" i="5"/>
  <c r="D498" i="5"/>
  <c r="J498" i="5" s="1"/>
  <c r="H497" i="5"/>
  <c r="D497" i="5"/>
  <c r="E497" i="5" s="1"/>
  <c r="D496" i="5"/>
  <c r="E496" i="5" s="1"/>
  <c r="D495" i="5"/>
  <c r="E495" i="5" s="1"/>
  <c r="D493" i="5"/>
  <c r="E493" i="5" s="1"/>
  <c r="D492" i="5"/>
  <c r="E492" i="5" s="1"/>
  <c r="E491" i="5"/>
  <c r="D491" i="5"/>
  <c r="J490" i="5"/>
  <c r="D490" i="5"/>
  <c r="E490" i="5" s="1"/>
  <c r="D489" i="5"/>
  <c r="E489" i="5" s="1"/>
  <c r="H488" i="5"/>
  <c r="D488" i="5"/>
  <c r="E488" i="5" s="1"/>
  <c r="D487" i="5"/>
  <c r="E487" i="5" s="1"/>
  <c r="H486" i="5"/>
  <c r="D486" i="5"/>
  <c r="E486" i="5" s="1"/>
  <c r="H485" i="5"/>
  <c r="D485" i="5"/>
  <c r="E485" i="5" s="1"/>
  <c r="H484" i="5"/>
  <c r="D484" i="5"/>
  <c r="E484" i="5" s="1"/>
  <c r="D483" i="5"/>
  <c r="E483" i="5" s="1"/>
  <c r="E482" i="5"/>
  <c r="D482" i="5"/>
  <c r="J482" i="5" s="1"/>
  <c r="E481" i="5"/>
  <c r="D481" i="5"/>
  <c r="E480" i="5"/>
  <c r="D480" i="5"/>
  <c r="E479" i="5"/>
  <c r="D479" i="5"/>
  <c r="E477" i="5"/>
  <c r="D477" i="5"/>
  <c r="E476" i="5"/>
  <c r="D476" i="5"/>
  <c r="E475" i="5"/>
  <c r="D475" i="5"/>
  <c r="J474" i="5"/>
  <c r="D474" i="5"/>
  <c r="E474" i="5" s="1"/>
  <c r="D473" i="5"/>
  <c r="E473" i="5" s="1"/>
  <c r="H472" i="5"/>
  <c r="D472" i="5"/>
  <c r="E472" i="5" s="1"/>
  <c r="E471" i="5"/>
  <c r="D471" i="5"/>
  <c r="J471" i="5" s="1"/>
  <c r="D470" i="5"/>
  <c r="E470" i="5" s="1"/>
  <c r="J469" i="5"/>
  <c r="E469" i="5"/>
  <c r="D469" i="5"/>
  <c r="J468" i="5"/>
  <c r="D468" i="5"/>
  <c r="E468" i="5" s="1"/>
  <c r="E467" i="5"/>
  <c r="D467" i="5"/>
  <c r="J467" i="5" s="1"/>
  <c r="J466" i="5"/>
  <c r="D466" i="5"/>
  <c r="E466" i="5" s="1"/>
  <c r="H465" i="5"/>
  <c r="D465" i="5"/>
  <c r="E465" i="5" s="1"/>
  <c r="H464" i="5"/>
  <c r="D464" i="5"/>
  <c r="E464" i="5" s="1"/>
  <c r="H463" i="5"/>
  <c r="D463" i="5"/>
  <c r="E463" i="5" s="1"/>
  <c r="H462" i="5"/>
  <c r="D462" i="5"/>
  <c r="E462" i="5" s="1"/>
  <c r="D461" i="5"/>
  <c r="E461" i="5" s="1"/>
  <c r="E460" i="5"/>
  <c r="D460" i="5"/>
  <c r="J460" i="5" s="1"/>
  <c r="E459" i="5"/>
  <c r="D459" i="5"/>
  <c r="E458" i="5"/>
  <c r="D458" i="5"/>
  <c r="E457" i="5"/>
  <c r="D457" i="5"/>
  <c r="E455" i="5"/>
  <c r="D455" i="5"/>
  <c r="E454" i="5"/>
  <c r="D454" i="5"/>
  <c r="E453" i="5"/>
  <c r="D453" i="5"/>
  <c r="D452" i="5"/>
  <c r="E452" i="5" s="1"/>
  <c r="H447" i="5" s="1"/>
  <c r="D451" i="5"/>
  <c r="E451" i="5" s="1"/>
  <c r="D450" i="5"/>
  <c r="E450" i="5" s="1"/>
  <c r="H449" i="5"/>
  <c r="E449" i="5"/>
  <c r="D449" i="5"/>
  <c r="E448" i="5"/>
  <c r="D448" i="5"/>
  <c r="E447" i="5"/>
  <c r="D447" i="5"/>
  <c r="E446" i="5"/>
  <c r="D446" i="5"/>
  <c r="E445" i="5"/>
  <c r="D445" i="5"/>
  <c r="D444" i="5"/>
  <c r="J444" i="5" s="1"/>
  <c r="H443" i="5"/>
  <c r="D443" i="5"/>
  <c r="E443" i="5" s="1"/>
  <c r="D442" i="5"/>
  <c r="E442" i="5" s="1"/>
  <c r="D441" i="5"/>
  <c r="E441" i="5" s="1"/>
  <c r="D439" i="5"/>
  <c r="E439" i="5" s="1"/>
  <c r="D438" i="5"/>
  <c r="E438" i="5" s="1"/>
  <c r="D437" i="5"/>
  <c r="E437" i="5" s="1"/>
  <c r="E436" i="5"/>
  <c r="H441" i="5" s="1"/>
  <c r="D436" i="5"/>
  <c r="J436" i="5" s="1"/>
  <c r="E435" i="5"/>
  <c r="D435" i="5"/>
  <c r="E434" i="5"/>
  <c r="D434" i="5"/>
  <c r="J433" i="5"/>
  <c r="D433" i="5"/>
  <c r="E433" i="5" s="1"/>
  <c r="E432" i="5"/>
  <c r="D432" i="5"/>
  <c r="J432" i="5" s="1"/>
  <c r="D431" i="5"/>
  <c r="J431" i="5" s="1"/>
  <c r="J430" i="5"/>
  <c r="E430" i="5"/>
  <c r="D430" i="5"/>
  <c r="J429" i="5"/>
  <c r="D429" i="5"/>
  <c r="E429" i="5" s="1"/>
  <c r="E428" i="5"/>
  <c r="D428" i="5"/>
  <c r="J428" i="5" s="1"/>
  <c r="E427" i="5"/>
  <c r="D427" i="5"/>
  <c r="E426" i="5"/>
  <c r="D426" i="5"/>
  <c r="E425" i="5"/>
  <c r="D425" i="5"/>
  <c r="E424" i="5"/>
  <c r="D424" i="5"/>
  <c r="E423" i="5"/>
  <c r="D423" i="5"/>
  <c r="D422" i="5"/>
  <c r="J422" i="5" s="1"/>
  <c r="H421" i="5"/>
  <c r="D421" i="5"/>
  <c r="E421" i="5" s="1"/>
  <c r="D420" i="5"/>
  <c r="E420" i="5" s="1"/>
  <c r="D419" i="5"/>
  <c r="E419" i="5" s="1"/>
  <c r="D417" i="5"/>
  <c r="E417" i="5" s="1"/>
  <c r="D416" i="5"/>
  <c r="E416" i="5" s="1"/>
  <c r="D415" i="5"/>
  <c r="E415" i="5" s="1"/>
  <c r="E414" i="5"/>
  <c r="H419" i="5" s="1"/>
  <c r="D414" i="5"/>
  <c r="J414" i="5" s="1"/>
  <c r="E413" i="5"/>
  <c r="D413" i="5"/>
  <c r="E412" i="5"/>
  <c r="D412" i="5"/>
  <c r="E411" i="5"/>
  <c r="D411" i="5"/>
  <c r="E410" i="5"/>
  <c r="D410" i="5"/>
  <c r="E409" i="5"/>
  <c r="D409" i="5"/>
  <c r="E408" i="5"/>
  <c r="D408" i="5"/>
  <c r="E407" i="5"/>
  <c r="D407" i="5"/>
  <c r="J406" i="5"/>
  <c r="D406" i="5"/>
  <c r="E406" i="5" s="1"/>
  <c r="H405" i="5"/>
  <c r="D405" i="5"/>
  <c r="E405" i="5" s="1"/>
  <c r="D404" i="5"/>
  <c r="E404" i="5" s="1"/>
  <c r="E403" i="5"/>
  <c r="D403" i="5"/>
  <c r="D402" i="5"/>
  <c r="J402" i="5" s="1"/>
  <c r="J401" i="5"/>
  <c r="E401" i="5"/>
  <c r="D401" i="5"/>
  <c r="J400" i="5"/>
  <c r="D400" i="5"/>
  <c r="E400" i="5" s="1"/>
  <c r="E399" i="5"/>
  <c r="D399" i="5"/>
  <c r="J399" i="5" s="1"/>
  <c r="D398" i="5"/>
  <c r="J398" i="5" s="1"/>
  <c r="J397" i="5"/>
  <c r="E397" i="5"/>
  <c r="D397" i="5"/>
  <c r="E396" i="5"/>
  <c r="D396" i="5"/>
  <c r="D395" i="5"/>
  <c r="E395" i="5" s="1"/>
  <c r="E394" i="5"/>
  <c r="G394" i="5" s="1"/>
  <c r="D394" i="5"/>
  <c r="E393" i="5"/>
  <c r="G393" i="5" s="1"/>
  <c r="I393" i="5" s="1"/>
  <c r="D393" i="5"/>
  <c r="J392" i="5"/>
  <c r="D392" i="5"/>
  <c r="E392" i="5" s="1"/>
  <c r="E391" i="5"/>
  <c r="D391" i="5"/>
  <c r="J391" i="5" s="1"/>
  <c r="D390" i="5"/>
  <c r="J390" i="5" s="1"/>
  <c r="J389" i="5"/>
  <c r="E389" i="5"/>
  <c r="D389" i="5"/>
  <c r="J388" i="5"/>
  <c r="D388" i="5"/>
  <c r="E388" i="5" s="1"/>
  <c r="E387" i="5"/>
  <c r="D387" i="5"/>
  <c r="J387" i="5" s="1"/>
  <c r="D386" i="5"/>
  <c r="E386" i="5" s="1"/>
  <c r="G386" i="5" s="1"/>
  <c r="D385" i="5"/>
  <c r="E385" i="5" s="1"/>
  <c r="G385" i="5" s="1"/>
  <c r="I385" i="5" s="1"/>
  <c r="E384" i="5"/>
  <c r="G384" i="5" s="1"/>
  <c r="D384" i="5"/>
  <c r="E383" i="5"/>
  <c r="G383" i="5" s="1"/>
  <c r="I383" i="5" s="1"/>
  <c r="D383" i="5"/>
  <c r="J382" i="5"/>
  <c r="D382" i="5"/>
  <c r="E382" i="5" s="1"/>
  <c r="E381" i="5"/>
  <c r="D381" i="5"/>
  <c r="J381" i="5" s="1"/>
  <c r="D380" i="5"/>
  <c r="J380" i="5" s="1"/>
  <c r="J379" i="5"/>
  <c r="E379" i="5"/>
  <c r="D379" i="5"/>
  <c r="J378" i="5"/>
  <c r="D378" i="5"/>
  <c r="E378" i="5" s="1"/>
  <c r="E377" i="5"/>
  <c r="D377" i="5"/>
  <c r="J377" i="5" s="1"/>
  <c r="D376" i="5"/>
  <c r="E376" i="5" s="1"/>
  <c r="G376" i="5" s="1"/>
  <c r="D375" i="5"/>
  <c r="E375" i="5" s="1"/>
  <c r="G375" i="5" s="1"/>
  <c r="I375" i="5" s="1"/>
  <c r="J374" i="5"/>
  <c r="E374" i="5"/>
  <c r="D374" i="5"/>
  <c r="J373" i="5"/>
  <c r="D373" i="5"/>
  <c r="E373" i="5" s="1"/>
  <c r="E372" i="5"/>
  <c r="D372" i="5"/>
  <c r="J372" i="5" s="1"/>
  <c r="D371" i="5"/>
  <c r="J370" i="5"/>
  <c r="E370" i="5"/>
  <c r="D370" i="5"/>
  <c r="J369" i="5"/>
  <c r="D369" i="5"/>
  <c r="E369" i="5" s="1"/>
  <c r="E368" i="5"/>
  <c r="D368" i="5"/>
  <c r="J368" i="5" s="1"/>
  <c r="D367" i="5"/>
  <c r="J366" i="5"/>
  <c r="E366" i="5"/>
  <c r="D366" i="5"/>
  <c r="J365" i="5"/>
  <c r="D365" i="5"/>
  <c r="E365" i="5" s="1"/>
  <c r="E364" i="5"/>
  <c r="D364" i="5"/>
  <c r="J364" i="5" s="1"/>
  <c r="D363" i="5"/>
  <c r="J362" i="5"/>
  <c r="E362" i="5"/>
  <c r="D362" i="5"/>
  <c r="J361" i="5"/>
  <c r="D361" i="5"/>
  <c r="E361" i="5" s="1"/>
  <c r="E360" i="5"/>
  <c r="D360" i="5"/>
  <c r="J360" i="5" s="1"/>
  <c r="J359" i="5"/>
  <c r="D359" i="5"/>
  <c r="E359" i="5" s="1"/>
  <c r="J358" i="5"/>
  <c r="E358" i="5"/>
  <c r="D358" i="5"/>
  <c r="D357" i="5"/>
  <c r="E357" i="5" s="1"/>
  <c r="E356" i="5"/>
  <c r="D356" i="5"/>
  <c r="J356" i="5" s="1"/>
  <c r="E355" i="5"/>
  <c r="D355" i="5"/>
  <c r="E354" i="5"/>
  <c r="D354" i="5"/>
  <c r="E352" i="5"/>
  <c r="D352" i="5"/>
  <c r="E351" i="5"/>
  <c r="D351" i="5"/>
  <c r="E350" i="5"/>
  <c r="D350" i="5"/>
  <c r="J349" i="5"/>
  <c r="D349" i="5"/>
  <c r="E349" i="5" s="1"/>
  <c r="J348" i="5"/>
  <c r="E348" i="5"/>
  <c r="D348" i="5"/>
  <c r="D347" i="5"/>
  <c r="E347" i="5" s="1"/>
  <c r="E346" i="5"/>
  <c r="D346" i="5"/>
  <c r="J346" i="5" s="1"/>
  <c r="D345" i="5"/>
  <c r="E345" i="5" s="1"/>
  <c r="J344" i="5"/>
  <c r="E344" i="5"/>
  <c r="D344" i="5"/>
  <c r="J343" i="5"/>
  <c r="D343" i="5"/>
  <c r="E343" i="5" s="1"/>
  <c r="H342" i="5"/>
  <c r="D342" i="5"/>
  <c r="E342" i="5" s="1"/>
  <c r="H341" i="5"/>
  <c r="D341" i="5"/>
  <c r="E341" i="5" s="1"/>
  <c r="H340" i="5"/>
  <c r="D340" i="5"/>
  <c r="E340" i="5" s="1"/>
  <c r="H339" i="5"/>
  <c r="D339" i="5"/>
  <c r="E339" i="5" s="1"/>
  <c r="D338" i="5"/>
  <c r="E338" i="5" s="1"/>
  <c r="E337" i="5"/>
  <c r="D337" i="5"/>
  <c r="J337" i="5" s="1"/>
  <c r="E336" i="5"/>
  <c r="D336" i="5"/>
  <c r="E335" i="5"/>
  <c r="D335" i="5"/>
  <c r="E334" i="5"/>
  <c r="D334" i="5"/>
  <c r="E332" i="5"/>
  <c r="D332" i="5"/>
  <c r="E331" i="5"/>
  <c r="D331" i="5"/>
  <c r="E330" i="5"/>
  <c r="D330" i="5"/>
  <c r="D329" i="5"/>
  <c r="E329" i="5" s="1"/>
  <c r="H328" i="5" s="1"/>
  <c r="D328" i="5"/>
  <c r="E328" i="5" s="1"/>
  <c r="H327" i="5"/>
  <c r="D327" i="5"/>
  <c r="E327" i="5" s="1"/>
  <c r="D326" i="5"/>
  <c r="E326" i="5" s="1"/>
  <c r="H325" i="5"/>
  <c r="D325" i="5"/>
  <c r="E325" i="5" s="1"/>
  <c r="D324" i="5"/>
  <c r="E324" i="5" s="1"/>
  <c r="E323" i="5"/>
  <c r="D323" i="5"/>
  <c r="J323" i="5" s="1"/>
  <c r="E322" i="5"/>
  <c r="D322" i="5"/>
  <c r="E321" i="5"/>
  <c r="D321" i="5"/>
  <c r="E320" i="5"/>
  <c r="D320" i="5"/>
  <c r="E318" i="5"/>
  <c r="D318" i="5"/>
  <c r="E317" i="5"/>
  <c r="D317" i="5"/>
  <c r="E316" i="5"/>
  <c r="D316" i="5"/>
  <c r="J315" i="5"/>
  <c r="D315" i="5"/>
  <c r="E315" i="5" s="1"/>
  <c r="D314" i="5"/>
  <c r="E314" i="5" s="1"/>
  <c r="H313" i="5"/>
  <c r="D313" i="5"/>
  <c r="E313" i="5" s="1"/>
  <c r="E312" i="5"/>
  <c r="D312" i="5"/>
  <c r="J312" i="5" s="1"/>
  <c r="D311" i="5"/>
  <c r="E311" i="5" s="1"/>
  <c r="J310" i="5"/>
  <c r="E310" i="5"/>
  <c r="D310" i="5"/>
  <c r="J309" i="5"/>
  <c r="D309" i="5"/>
  <c r="E309" i="5" s="1"/>
  <c r="E308" i="5"/>
  <c r="D308" i="5"/>
  <c r="J308" i="5" s="1"/>
  <c r="J307" i="5"/>
  <c r="D307" i="5"/>
  <c r="E307" i="5" s="1"/>
  <c r="H306" i="5"/>
  <c r="D306" i="5"/>
  <c r="E306" i="5" s="1"/>
  <c r="H305" i="5"/>
  <c r="D305" i="5"/>
  <c r="E305" i="5" s="1"/>
  <c r="H304" i="5"/>
  <c r="D304" i="5"/>
  <c r="E304" i="5" s="1"/>
  <c r="H303" i="5"/>
  <c r="D303" i="5"/>
  <c r="E303" i="5" s="1"/>
  <c r="D302" i="5"/>
  <c r="E302" i="5" s="1"/>
  <c r="E301" i="5"/>
  <c r="D301" i="5"/>
  <c r="J301" i="5" s="1"/>
  <c r="E300" i="5"/>
  <c r="D300" i="5"/>
  <c r="E299" i="5"/>
  <c r="D299" i="5"/>
  <c r="E298" i="5"/>
  <c r="D298" i="5"/>
  <c r="E296" i="5"/>
  <c r="D296" i="5"/>
  <c r="E295" i="5"/>
  <c r="D295" i="5"/>
  <c r="E294" i="5"/>
  <c r="D294" i="5"/>
  <c r="D293" i="5"/>
  <c r="E293" i="5" s="1"/>
  <c r="D292" i="5"/>
  <c r="E292" i="5" s="1"/>
  <c r="H291" i="5"/>
  <c r="E291" i="5"/>
  <c r="D291" i="5"/>
  <c r="H290" i="5"/>
  <c r="D290" i="5"/>
  <c r="E290" i="5" s="1"/>
  <c r="H289" i="5"/>
  <c r="D289" i="5"/>
  <c r="E289" i="5" s="1"/>
  <c r="H288" i="5"/>
  <c r="D288" i="5"/>
  <c r="E288" i="5" s="1"/>
  <c r="H287" i="5"/>
  <c r="D287" i="5"/>
  <c r="E287" i="5" s="1"/>
  <c r="D286" i="5"/>
  <c r="E286" i="5" s="1"/>
  <c r="E285" i="5"/>
  <c r="D285" i="5"/>
  <c r="J285" i="5" s="1"/>
  <c r="E284" i="5"/>
  <c r="D284" i="5"/>
  <c r="E283" i="5"/>
  <c r="D283" i="5"/>
  <c r="E282" i="5"/>
  <c r="D282" i="5"/>
  <c r="E280" i="5"/>
  <c r="D280" i="5"/>
  <c r="E279" i="5"/>
  <c r="D279" i="5"/>
  <c r="E278" i="5"/>
  <c r="D278" i="5"/>
  <c r="D277" i="5"/>
  <c r="J277" i="5" s="1"/>
  <c r="D276" i="5"/>
  <c r="E276" i="5" s="1"/>
  <c r="D275" i="5"/>
  <c r="E275" i="5" s="1"/>
  <c r="E274" i="5"/>
  <c r="D274" i="5"/>
  <c r="J274" i="5" s="1"/>
  <c r="D273" i="5"/>
  <c r="J272" i="5"/>
  <c r="E272" i="5"/>
  <c r="D272" i="5"/>
  <c r="J271" i="5"/>
  <c r="D271" i="5"/>
  <c r="E271" i="5" s="1"/>
  <c r="E270" i="5"/>
  <c r="D270" i="5"/>
  <c r="J270" i="5" s="1"/>
  <c r="D269" i="5"/>
  <c r="D268" i="5"/>
  <c r="E268" i="5" s="1"/>
  <c r="D267" i="5"/>
  <c r="E267" i="5" s="1"/>
  <c r="D266" i="5"/>
  <c r="E266" i="5" s="1"/>
  <c r="D265" i="5"/>
  <c r="E265" i="5" s="1"/>
  <c r="D264" i="5"/>
  <c r="E264" i="5" s="1"/>
  <c r="E263" i="5"/>
  <c r="D263" i="5"/>
  <c r="J263" i="5" s="1"/>
  <c r="E262" i="5"/>
  <c r="D262" i="5"/>
  <c r="E261" i="5"/>
  <c r="D261" i="5"/>
  <c r="E260" i="5"/>
  <c r="D260" i="5"/>
  <c r="E258" i="5"/>
  <c r="D258" i="5"/>
  <c r="E257" i="5"/>
  <c r="D257" i="5"/>
  <c r="E256" i="5"/>
  <c r="D256" i="5"/>
  <c r="D255" i="5"/>
  <c r="D254" i="5"/>
  <c r="E254" i="5" s="1"/>
  <c r="D253" i="5"/>
  <c r="E253" i="5" s="1"/>
  <c r="D252" i="5"/>
  <c r="E252" i="5" s="1"/>
  <c r="D251" i="5"/>
  <c r="E251" i="5" s="1"/>
  <c r="D250" i="5"/>
  <c r="E250" i="5" s="1"/>
  <c r="D249" i="5"/>
  <c r="E249" i="5" s="1"/>
  <c r="D248" i="5"/>
  <c r="E248" i="5" s="1"/>
  <c r="E247" i="5"/>
  <c r="D247" i="5"/>
  <c r="J247" i="5" s="1"/>
  <c r="E246" i="5"/>
  <c r="D246" i="5"/>
  <c r="E245" i="5"/>
  <c r="D245" i="5"/>
  <c r="E244" i="5"/>
  <c r="D244" i="5"/>
  <c r="E242" i="5"/>
  <c r="D242" i="5"/>
  <c r="E241" i="5"/>
  <c r="D241" i="5"/>
  <c r="E240" i="5"/>
  <c r="D240" i="5"/>
  <c r="J239" i="5"/>
  <c r="D239" i="5"/>
  <c r="E239" i="5" s="1"/>
  <c r="D238" i="5"/>
  <c r="E238" i="5" s="1"/>
  <c r="H237" i="5"/>
  <c r="D237" i="5"/>
  <c r="E237" i="5" s="1"/>
  <c r="E236" i="5"/>
  <c r="D236" i="5"/>
  <c r="J236" i="5" s="1"/>
  <c r="D235" i="5"/>
  <c r="E235" i="5" s="1"/>
  <c r="E234" i="5"/>
  <c r="D234" i="5"/>
  <c r="J234" i="5" s="1"/>
  <c r="D233" i="5"/>
  <c r="E233" i="5" s="1"/>
  <c r="E232" i="5"/>
  <c r="D232" i="5"/>
  <c r="J232" i="5" s="1"/>
  <c r="D231" i="5"/>
  <c r="E231" i="5" s="1"/>
  <c r="H230" i="5"/>
  <c r="D230" i="5"/>
  <c r="E230" i="5" s="1"/>
  <c r="H229" i="5"/>
  <c r="D229" i="5"/>
  <c r="E229" i="5" s="1"/>
  <c r="H228" i="5"/>
  <c r="D228" i="5"/>
  <c r="E228" i="5" s="1"/>
  <c r="H227" i="5"/>
  <c r="D227" i="5"/>
  <c r="E227" i="5" s="1"/>
  <c r="D226" i="5"/>
  <c r="E226" i="5" s="1"/>
  <c r="E225" i="5"/>
  <c r="D225" i="5"/>
  <c r="J225" i="5" s="1"/>
  <c r="E224" i="5"/>
  <c r="D224" i="5"/>
  <c r="E223" i="5"/>
  <c r="D223" i="5"/>
  <c r="E222" i="5"/>
  <c r="D222" i="5"/>
  <c r="E220" i="5"/>
  <c r="D220" i="5"/>
  <c r="E219" i="5"/>
  <c r="D219" i="5"/>
  <c r="E218" i="5"/>
  <c r="D218" i="5"/>
  <c r="J217" i="5"/>
  <c r="D217" i="5"/>
  <c r="E217" i="5" s="1"/>
  <c r="D216" i="5"/>
  <c r="E216" i="5" s="1"/>
  <c r="H215" i="5"/>
  <c r="D215" i="5"/>
  <c r="E215" i="5" s="1"/>
  <c r="H214" i="5"/>
  <c r="D214" i="5"/>
  <c r="E214" i="5" s="1"/>
  <c r="H213" i="5"/>
  <c r="D213" i="5"/>
  <c r="E213" i="5" s="1"/>
  <c r="H212" i="5"/>
  <c r="D212" i="5"/>
  <c r="E212" i="5" s="1"/>
  <c r="H211" i="5"/>
  <c r="D211" i="5"/>
  <c r="E211" i="5" s="1"/>
  <c r="D210" i="5"/>
  <c r="E210" i="5" s="1"/>
  <c r="E209" i="5"/>
  <c r="D209" i="5"/>
  <c r="J209" i="5" s="1"/>
  <c r="E208" i="5"/>
  <c r="D208" i="5"/>
  <c r="E207" i="5"/>
  <c r="D207" i="5"/>
  <c r="E206" i="5"/>
  <c r="D206" i="5"/>
  <c r="E204" i="5"/>
  <c r="D204" i="5"/>
  <c r="E203" i="5"/>
  <c r="D203" i="5"/>
  <c r="E202" i="5"/>
  <c r="D202" i="5"/>
  <c r="J201" i="5"/>
  <c r="D201" i="5"/>
  <c r="E201" i="5" s="1"/>
  <c r="D200" i="5"/>
  <c r="E200" i="5" s="1"/>
  <c r="H199" i="5"/>
  <c r="D199" i="5"/>
  <c r="E199" i="5" s="1"/>
  <c r="E198" i="5"/>
  <c r="D198" i="5"/>
  <c r="J198" i="5" s="1"/>
  <c r="D197" i="5"/>
  <c r="E197" i="5" s="1"/>
  <c r="E196" i="5"/>
  <c r="D196" i="5"/>
  <c r="J196" i="5" s="1"/>
  <c r="D195" i="5"/>
  <c r="E195" i="5" s="1"/>
  <c r="E194" i="5"/>
  <c r="D194" i="5"/>
  <c r="J194" i="5" s="1"/>
  <c r="D193" i="5"/>
  <c r="E193" i="5" s="1"/>
  <c r="H192" i="5"/>
  <c r="D192" i="5"/>
  <c r="E192" i="5" s="1"/>
  <c r="H191" i="5"/>
  <c r="D191" i="5"/>
  <c r="E191" i="5" s="1"/>
  <c r="H190" i="5"/>
  <c r="D190" i="5"/>
  <c r="E190" i="5" s="1"/>
  <c r="H189" i="5"/>
  <c r="D189" i="5"/>
  <c r="E189" i="5" s="1"/>
  <c r="D188" i="5"/>
  <c r="E188" i="5" s="1"/>
  <c r="E187" i="5"/>
  <c r="D187" i="5"/>
  <c r="J187" i="5" s="1"/>
  <c r="E186" i="5"/>
  <c r="D186" i="5"/>
  <c r="E185" i="5"/>
  <c r="D185" i="5"/>
  <c r="E184" i="5"/>
  <c r="D184" i="5"/>
  <c r="E182" i="5"/>
  <c r="D182" i="5"/>
  <c r="E181" i="5"/>
  <c r="D181" i="5"/>
  <c r="E180" i="5"/>
  <c r="D180" i="5"/>
  <c r="J179" i="5"/>
  <c r="D179" i="5"/>
  <c r="E179" i="5" s="1"/>
  <c r="D178" i="5"/>
  <c r="E178" i="5" s="1"/>
  <c r="D177" i="5"/>
  <c r="E177" i="5" s="1"/>
  <c r="D176" i="5"/>
  <c r="E176" i="5" s="1"/>
  <c r="D175" i="5"/>
  <c r="E175" i="5" s="1"/>
  <c r="D174" i="5"/>
  <c r="E174" i="5" s="1"/>
  <c r="D173" i="5"/>
  <c r="E173" i="5" s="1"/>
  <c r="D172" i="5"/>
  <c r="E172" i="5" s="1"/>
  <c r="J171" i="5"/>
  <c r="E171" i="5"/>
  <c r="D171" i="5"/>
  <c r="E170" i="5"/>
  <c r="D170" i="5"/>
  <c r="E169" i="5"/>
  <c r="D169" i="5"/>
  <c r="D168" i="5"/>
  <c r="E168" i="5" s="1"/>
  <c r="E167" i="5"/>
  <c r="D167" i="5"/>
  <c r="J167" i="5" s="1"/>
  <c r="D166" i="5"/>
  <c r="J166" i="5" s="1"/>
  <c r="J165" i="5"/>
  <c r="E165" i="5"/>
  <c r="D165" i="5"/>
  <c r="J164" i="5"/>
  <c r="D164" i="5"/>
  <c r="E164" i="5" s="1"/>
  <c r="E163" i="5"/>
  <c r="D163" i="5"/>
  <c r="J163" i="5" s="1"/>
  <c r="D162" i="5"/>
  <c r="J162" i="5" s="1"/>
  <c r="D161" i="5"/>
  <c r="E161" i="5" s="1"/>
  <c r="E160" i="5"/>
  <c r="D160" i="5"/>
  <c r="D159" i="5"/>
  <c r="E159" i="5" s="1"/>
  <c r="G159" i="5" s="1"/>
  <c r="D158" i="5"/>
  <c r="E158" i="5" s="1"/>
  <c r="G158" i="5" s="1"/>
  <c r="I158" i="5" s="1"/>
  <c r="J157" i="5"/>
  <c r="E157" i="5"/>
  <c r="D157" i="5"/>
  <c r="J156" i="5"/>
  <c r="D156" i="5"/>
  <c r="E156" i="5" s="1"/>
  <c r="E155" i="5"/>
  <c r="D155" i="5"/>
  <c r="J155" i="5" s="1"/>
  <c r="D154" i="5"/>
  <c r="J154" i="5" s="1"/>
  <c r="J153" i="5"/>
  <c r="E153" i="5"/>
  <c r="D153" i="5"/>
  <c r="J152" i="5"/>
  <c r="D152" i="5"/>
  <c r="E152" i="5" s="1"/>
  <c r="E151" i="5"/>
  <c r="G151" i="5" s="1"/>
  <c r="D151" i="5"/>
  <c r="E150" i="5"/>
  <c r="G150" i="5" s="1"/>
  <c r="I150" i="5" s="1"/>
  <c r="D150" i="5"/>
  <c r="D149" i="5"/>
  <c r="E149" i="5" s="1"/>
  <c r="G149" i="5" s="1"/>
  <c r="D148" i="5"/>
  <c r="E148" i="5" s="1"/>
  <c r="G148" i="5" s="1"/>
  <c r="I148" i="5" s="1"/>
  <c r="J147" i="5"/>
  <c r="E147" i="5"/>
  <c r="D147" i="5"/>
  <c r="J146" i="5"/>
  <c r="D146" i="5"/>
  <c r="E146" i="5" s="1"/>
  <c r="E145" i="5"/>
  <c r="D145" i="5"/>
  <c r="J145" i="5" s="1"/>
  <c r="D144" i="5"/>
  <c r="J144" i="5" s="1"/>
  <c r="J143" i="5"/>
  <c r="E143" i="5"/>
  <c r="D143" i="5"/>
  <c r="J142" i="5"/>
  <c r="D142" i="5"/>
  <c r="E142" i="5" s="1"/>
  <c r="E141" i="5"/>
  <c r="G141" i="5" s="1"/>
  <c r="D141" i="5"/>
  <c r="E140" i="5"/>
  <c r="G140" i="5" s="1"/>
  <c r="I140" i="5" s="1"/>
  <c r="D140" i="5"/>
  <c r="D139" i="5"/>
  <c r="J139" i="5" s="1"/>
  <c r="J138" i="5"/>
  <c r="E138" i="5"/>
  <c r="D138" i="5"/>
  <c r="J137" i="5"/>
  <c r="D137" i="5"/>
  <c r="E137" i="5" s="1"/>
  <c r="E136" i="5"/>
  <c r="D136" i="5"/>
  <c r="J136" i="5" s="1"/>
  <c r="D135" i="5"/>
  <c r="J135" i="5" s="1"/>
  <c r="J134" i="5"/>
  <c r="E134" i="5"/>
  <c r="D134" i="5"/>
  <c r="J133" i="5"/>
  <c r="D133" i="5"/>
  <c r="E133" i="5" s="1"/>
  <c r="E132" i="5"/>
  <c r="D132" i="5"/>
  <c r="J132" i="5" s="1"/>
  <c r="D131" i="5"/>
  <c r="J131" i="5" s="1"/>
  <c r="J130" i="5"/>
  <c r="E130" i="5"/>
  <c r="D130" i="5"/>
  <c r="J129" i="5"/>
  <c r="D129" i="5"/>
  <c r="E129" i="5" s="1"/>
  <c r="E128" i="5"/>
  <c r="D128" i="5"/>
  <c r="J128" i="5" s="1"/>
  <c r="D127" i="5"/>
  <c r="J127" i="5" s="1"/>
  <c r="J126" i="5"/>
  <c r="E126" i="5"/>
  <c r="D126" i="5"/>
  <c r="J125" i="5"/>
  <c r="D125" i="5"/>
  <c r="E125" i="5" s="1"/>
  <c r="E124" i="5"/>
  <c r="D124" i="5"/>
  <c r="J124" i="5" s="1"/>
  <c r="D123" i="5"/>
  <c r="J123" i="5" s="1"/>
  <c r="J122" i="5"/>
  <c r="E122" i="5"/>
  <c r="D122" i="5"/>
  <c r="E121" i="5"/>
  <c r="D121" i="5"/>
  <c r="E120" i="5"/>
  <c r="D120" i="5"/>
  <c r="J119" i="5"/>
  <c r="D119" i="5"/>
  <c r="D118" i="5"/>
  <c r="J117" i="5"/>
  <c r="E117" i="5"/>
  <c r="D117" i="5"/>
  <c r="E116" i="5"/>
  <c r="D116" i="5"/>
  <c r="D115" i="5"/>
  <c r="J114" i="5"/>
  <c r="E114" i="5"/>
  <c r="D114" i="5"/>
  <c r="J113" i="5"/>
  <c r="D113" i="5"/>
  <c r="E113" i="5" s="1"/>
  <c r="E112" i="5"/>
  <c r="D112" i="5"/>
  <c r="J112" i="5" s="1"/>
  <c r="D111" i="5"/>
  <c r="D110" i="5"/>
  <c r="E110" i="5" s="1"/>
  <c r="F110" i="5" s="1"/>
  <c r="H109" i="5"/>
  <c r="D109" i="5"/>
  <c r="E109" i="5" s="1"/>
  <c r="D108" i="5"/>
  <c r="E108" i="5" s="1"/>
  <c r="F108" i="5" s="1"/>
  <c r="D107" i="5"/>
  <c r="J107" i="5" s="1"/>
  <c r="J106" i="5"/>
  <c r="E106" i="5"/>
  <c r="H98" i="5" s="1"/>
  <c r="D106" i="5"/>
  <c r="J105" i="5"/>
  <c r="D105" i="5"/>
  <c r="E105" i="5" s="1"/>
  <c r="H104" i="5"/>
  <c r="D104" i="5"/>
  <c r="E104" i="5" s="1"/>
  <c r="J103" i="5"/>
  <c r="E103" i="5"/>
  <c r="D103" i="5"/>
  <c r="J102" i="5"/>
  <c r="Z36" i="2" s="1"/>
  <c r="D102" i="5"/>
  <c r="E102" i="5" s="1"/>
  <c r="E101" i="5"/>
  <c r="D101" i="5"/>
  <c r="J101" i="5" s="1"/>
  <c r="D100" i="5"/>
  <c r="J99" i="5"/>
  <c r="E99" i="5"/>
  <c r="D99" i="5"/>
  <c r="E98" i="5"/>
  <c r="D98" i="5"/>
  <c r="E97" i="5"/>
  <c r="F97" i="5" s="1"/>
  <c r="G97" i="5" s="1"/>
  <c r="D97" i="5"/>
  <c r="E96" i="5"/>
  <c r="D96" i="5"/>
  <c r="J95" i="5"/>
  <c r="D95" i="5"/>
  <c r="J94" i="5"/>
  <c r="D94" i="5"/>
  <c r="E94" i="5" s="1"/>
  <c r="C35" i="2" s="1"/>
  <c r="E93" i="5"/>
  <c r="D93" i="5"/>
  <c r="J93" i="5" s="1"/>
  <c r="E92" i="5"/>
  <c r="F92" i="5" s="1"/>
  <c r="G92" i="5" s="1"/>
  <c r="D92" i="5"/>
  <c r="J91" i="5"/>
  <c r="D91" i="5"/>
  <c r="E91" i="5" s="1"/>
  <c r="E90" i="5"/>
  <c r="D90" i="5"/>
  <c r="J90" i="5" s="1"/>
  <c r="D89" i="5"/>
  <c r="J88" i="5"/>
  <c r="E88" i="5"/>
  <c r="D88" i="5"/>
  <c r="J87" i="5"/>
  <c r="AE35" i="2" s="1"/>
  <c r="D87" i="5"/>
  <c r="E87" i="5" s="1"/>
  <c r="H86" i="5"/>
  <c r="D86" i="5"/>
  <c r="E86" i="5" s="1"/>
  <c r="F85" i="5"/>
  <c r="D85" i="5"/>
  <c r="E85" i="5" s="1"/>
  <c r="D84" i="5"/>
  <c r="E84" i="5" s="1"/>
  <c r="D83" i="5"/>
  <c r="J83" i="5" s="1"/>
  <c r="E82" i="5"/>
  <c r="D82" i="5"/>
  <c r="J82" i="5" s="1"/>
  <c r="J81" i="5"/>
  <c r="D81" i="5"/>
  <c r="E81" i="5" s="1"/>
  <c r="H80" i="5"/>
  <c r="D80" i="5"/>
  <c r="E80" i="5" s="1"/>
  <c r="E79" i="5"/>
  <c r="D79" i="5"/>
  <c r="J79" i="5" s="1"/>
  <c r="AB34" i="2" s="1"/>
  <c r="D78" i="5"/>
  <c r="E78" i="5" s="1"/>
  <c r="J77" i="5"/>
  <c r="E77" i="5"/>
  <c r="D77" i="5"/>
  <c r="J76" i="5"/>
  <c r="AD34" i="2" s="1"/>
  <c r="D76" i="5"/>
  <c r="E76" i="5" s="1"/>
  <c r="E75" i="5"/>
  <c r="D75" i="5"/>
  <c r="J75" i="5" s="1"/>
  <c r="E74" i="5"/>
  <c r="F74" i="5" s="1"/>
  <c r="D74" i="5"/>
  <c r="E73" i="5"/>
  <c r="F73" i="5" s="1"/>
  <c r="D73" i="5"/>
  <c r="E72" i="5"/>
  <c r="F72" i="5" s="1"/>
  <c r="D72" i="5"/>
  <c r="J71" i="5"/>
  <c r="Y33" i="2" s="1"/>
  <c r="D71" i="5"/>
  <c r="J70" i="5"/>
  <c r="D70" i="5"/>
  <c r="E70" i="5" s="1"/>
  <c r="J69" i="5"/>
  <c r="E69" i="5"/>
  <c r="D69" i="5"/>
  <c r="G68" i="5"/>
  <c r="E68" i="5"/>
  <c r="F68" i="5" s="1"/>
  <c r="D68" i="5"/>
  <c r="D67" i="5"/>
  <c r="E67" i="5" s="1"/>
  <c r="J66" i="5"/>
  <c r="E66" i="5"/>
  <c r="D66" i="5"/>
  <c r="J65" i="5"/>
  <c r="AC33" i="2" s="1"/>
  <c r="D65" i="5"/>
  <c r="E65" i="5" s="1"/>
  <c r="E64" i="5"/>
  <c r="D64" i="5"/>
  <c r="J64" i="5" s="1"/>
  <c r="J63" i="5"/>
  <c r="AE33" i="2" s="1"/>
  <c r="D63" i="5"/>
  <c r="E63" i="5" s="1"/>
  <c r="H62" i="5"/>
  <c r="D62" i="5"/>
  <c r="E62" i="5" s="1"/>
  <c r="F61" i="5"/>
  <c r="D61" i="5"/>
  <c r="E61" i="5" s="1"/>
  <c r="H60" i="5"/>
  <c r="D60" i="5"/>
  <c r="E60" i="5" s="1"/>
  <c r="F60" i="5" s="1"/>
  <c r="D59" i="5"/>
  <c r="J59" i="5" s="1"/>
  <c r="J58" i="5"/>
  <c r="E58" i="5"/>
  <c r="H50" i="5" s="1"/>
  <c r="D58" i="5"/>
  <c r="D57" i="5"/>
  <c r="E57" i="5" s="1"/>
  <c r="H56" i="5"/>
  <c r="F56" i="5"/>
  <c r="D56" i="5"/>
  <c r="E56" i="5" s="1"/>
  <c r="J55" i="5"/>
  <c r="E55" i="5"/>
  <c r="D55" i="5"/>
  <c r="D54" i="5"/>
  <c r="E54" i="5" s="1"/>
  <c r="E53" i="5"/>
  <c r="D53" i="5"/>
  <c r="J53" i="5" s="1"/>
  <c r="D52" i="5"/>
  <c r="E52" i="5" s="1"/>
  <c r="J51" i="5"/>
  <c r="E51" i="5"/>
  <c r="D51" i="5"/>
  <c r="E50" i="5"/>
  <c r="D50" i="5"/>
  <c r="E49" i="5"/>
  <c r="F49" i="5" s="1"/>
  <c r="D49" i="5"/>
  <c r="E48" i="5"/>
  <c r="F48" i="5" s="1"/>
  <c r="D48" i="5"/>
  <c r="J47" i="5"/>
  <c r="Y31" i="2" s="1"/>
  <c r="D47" i="5"/>
  <c r="J46" i="5"/>
  <c r="D46" i="5"/>
  <c r="E46" i="5" s="1"/>
  <c r="E45" i="5"/>
  <c r="D45" i="5"/>
  <c r="J45" i="5" s="1"/>
  <c r="E44" i="5"/>
  <c r="F44" i="5" s="1"/>
  <c r="D44" i="5"/>
  <c r="J43" i="5"/>
  <c r="D43" i="5"/>
  <c r="E43" i="5" s="1"/>
  <c r="E42" i="5"/>
  <c r="D42" i="5"/>
  <c r="J42" i="5" s="1"/>
  <c r="J41" i="5"/>
  <c r="AC31" i="2" s="1"/>
  <c r="D41" i="5"/>
  <c r="E41" i="5" s="1"/>
  <c r="E40" i="5"/>
  <c r="D40" i="5"/>
  <c r="J40" i="5" s="1"/>
  <c r="J39" i="5"/>
  <c r="AE31" i="2" s="1"/>
  <c r="D39" i="5"/>
  <c r="E39" i="5" s="1"/>
  <c r="H38" i="5"/>
  <c r="D38" i="5"/>
  <c r="E38" i="5" s="1"/>
  <c r="F38" i="5" s="1"/>
  <c r="F37" i="5"/>
  <c r="D37" i="5"/>
  <c r="E37" i="5" s="1"/>
  <c r="D36" i="5"/>
  <c r="E36" i="5" s="1"/>
  <c r="D35" i="5"/>
  <c r="J35" i="5" s="1"/>
  <c r="E34" i="5"/>
  <c r="H26" i="5" s="1"/>
  <c r="D34" i="5"/>
  <c r="J34" i="5" s="1"/>
  <c r="J33" i="5"/>
  <c r="D33" i="5"/>
  <c r="E33" i="5" s="1"/>
  <c r="H32" i="5"/>
  <c r="D32" i="5"/>
  <c r="E32" i="5" s="1"/>
  <c r="E31" i="5"/>
  <c r="D31" i="5"/>
  <c r="J31" i="5" s="1"/>
  <c r="AB30" i="2" s="1"/>
  <c r="D30" i="5"/>
  <c r="E30" i="5" s="1"/>
  <c r="J29" i="5"/>
  <c r="E29" i="5"/>
  <c r="D29" i="5"/>
  <c r="J28" i="5"/>
  <c r="AD30" i="2" s="1"/>
  <c r="D28" i="5"/>
  <c r="E28" i="5" s="1"/>
  <c r="E27" i="5"/>
  <c r="D27" i="5"/>
  <c r="J27" i="5" s="1"/>
  <c r="E26" i="5"/>
  <c r="F26" i="5" s="1"/>
  <c r="D26" i="5"/>
  <c r="E25" i="5"/>
  <c r="F25" i="5" s="1"/>
  <c r="D25" i="5"/>
  <c r="E24" i="5"/>
  <c r="F24" i="5" s="1"/>
  <c r="D24" i="5"/>
  <c r="J23" i="5"/>
  <c r="Y29" i="2" s="1"/>
  <c r="D23" i="5"/>
  <c r="J22" i="5"/>
  <c r="D22" i="5"/>
  <c r="E22" i="5" s="1"/>
  <c r="J21" i="5"/>
  <c r="E21" i="5"/>
  <c r="D21" i="5"/>
  <c r="G20" i="5"/>
  <c r="E20" i="5"/>
  <c r="F20" i="5" s="1"/>
  <c r="D20" i="5"/>
  <c r="D19" i="5"/>
  <c r="E19" i="5" s="1"/>
  <c r="J18" i="5"/>
  <c r="E18" i="5"/>
  <c r="D18" i="5"/>
  <c r="J17" i="5"/>
  <c r="AC29" i="2" s="1"/>
  <c r="D17" i="5"/>
  <c r="E17" i="5" s="1"/>
  <c r="E16" i="5"/>
  <c r="D16" i="5"/>
  <c r="J16" i="5" s="1"/>
  <c r="J15" i="5"/>
  <c r="AE29" i="2" s="1"/>
  <c r="D15" i="5"/>
  <c r="E15" i="5" s="1"/>
  <c r="H14" i="5"/>
  <c r="D14" i="5"/>
  <c r="E14" i="5" s="1"/>
  <c r="F13" i="5"/>
  <c r="D13" i="5"/>
  <c r="E13" i="5" s="1"/>
  <c r="H12" i="5"/>
  <c r="D12" i="5"/>
  <c r="E12" i="5" s="1"/>
  <c r="F12" i="5" s="1"/>
  <c r="D11" i="5"/>
  <c r="J11" i="5" s="1"/>
  <c r="J10" i="5"/>
  <c r="E10" i="5"/>
  <c r="H2" i="5" s="1"/>
  <c r="D10" i="5"/>
  <c r="D9" i="5"/>
  <c r="E9" i="5" s="1"/>
  <c r="H8" i="5"/>
  <c r="F8" i="5"/>
  <c r="D8" i="5"/>
  <c r="E8" i="5" s="1"/>
  <c r="E7" i="5"/>
  <c r="D7" i="5"/>
  <c r="J7" i="5" s="1"/>
  <c r="J6" i="5"/>
  <c r="Z28" i="2" s="1"/>
  <c r="D6" i="5"/>
  <c r="E6" i="5" s="1"/>
  <c r="E5" i="5"/>
  <c r="D5" i="5"/>
  <c r="J5" i="5" s="1"/>
  <c r="J4" i="5"/>
  <c r="AD28" i="2" s="1"/>
  <c r="D4" i="5"/>
  <c r="E4" i="5" s="1"/>
  <c r="E3" i="5"/>
  <c r="D3" i="5"/>
  <c r="J3" i="5" s="1"/>
  <c r="E2" i="5"/>
  <c r="V28" i="2" s="1"/>
  <c r="D2" i="5"/>
  <c r="E23" i="4"/>
  <c r="E21" i="4"/>
  <c r="E20" i="4"/>
  <c r="E19" i="4"/>
  <c r="E17" i="4"/>
  <c r="E16" i="4"/>
  <c r="E15" i="4"/>
  <c r="C15" i="4"/>
  <c r="C16" i="4" s="1"/>
  <c r="C17" i="4" s="1"/>
  <c r="C18" i="4" s="1"/>
  <c r="C19" i="4" s="1"/>
  <c r="C20" i="4" s="1"/>
  <c r="C21" i="4" s="1"/>
  <c r="C22" i="4" s="1"/>
  <c r="C23" i="4" s="1"/>
  <c r="E22" i="4" s="1"/>
  <c r="E14" i="4"/>
  <c r="E13" i="4"/>
  <c r="E12" i="4"/>
  <c r="E11" i="4"/>
  <c r="E10" i="4"/>
  <c r="E9" i="4"/>
  <c r="E8" i="4"/>
  <c r="E7" i="4"/>
  <c r="E6" i="4"/>
  <c r="E5" i="4"/>
  <c r="E4" i="4"/>
  <c r="E3" i="4"/>
  <c r="E2" i="4"/>
  <c r="AG37" i="2"/>
  <c r="AF37" i="2"/>
  <c r="AD37" i="2"/>
  <c r="AC37" i="2"/>
  <c r="AA37" i="2"/>
  <c r="Z37" i="2"/>
  <c r="Y37" i="2"/>
  <c r="V37" i="2"/>
  <c r="AG36" i="2"/>
  <c r="AE36" i="2"/>
  <c r="AC36" i="2"/>
  <c r="AB36" i="2"/>
  <c r="AA36" i="2"/>
  <c r="Y36" i="2"/>
  <c r="V36" i="2"/>
  <c r="C36" i="2"/>
  <c r="AG35" i="2"/>
  <c r="AF35" i="2"/>
  <c r="AD35" i="2"/>
  <c r="AB35" i="2"/>
  <c r="AA35" i="2"/>
  <c r="Z35" i="2"/>
  <c r="Y35" i="2"/>
  <c r="V35" i="2"/>
  <c r="AG34" i="2"/>
  <c r="AF34" i="2"/>
  <c r="AE34" i="2"/>
  <c r="AC34" i="2"/>
  <c r="AA34" i="2"/>
  <c r="Y34" i="2"/>
  <c r="C34" i="2"/>
  <c r="AG33" i="2"/>
  <c r="AF33" i="2"/>
  <c r="AD33" i="2"/>
  <c r="AA33" i="2"/>
  <c r="Z33" i="2"/>
  <c r="V33" i="2"/>
  <c r="C33" i="2"/>
  <c r="AG32" i="2"/>
  <c r="AF32" i="2"/>
  <c r="AE32" i="2"/>
  <c r="AC32" i="2"/>
  <c r="AB32" i="2"/>
  <c r="Y32" i="2"/>
  <c r="C32" i="2"/>
  <c r="AG31" i="2"/>
  <c r="AF31" i="2"/>
  <c r="AD31" i="2"/>
  <c r="AB31" i="2"/>
  <c r="AA31" i="2"/>
  <c r="Z31" i="2"/>
  <c r="V31" i="2"/>
  <c r="C31" i="2"/>
  <c r="AG30" i="2"/>
  <c r="AF30" i="2"/>
  <c r="AE30" i="2"/>
  <c r="AC30" i="2"/>
  <c r="AA30" i="2"/>
  <c r="Y30" i="2"/>
  <c r="C30" i="2"/>
  <c r="AG29" i="2"/>
  <c r="AF29" i="2"/>
  <c r="AD29" i="2"/>
  <c r="AA29" i="2"/>
  <c r="Z29" i="2"/>
  <c r="V29" i="2"/>
  <c r="C29" i="2"/>
  <c r="AG28" i="2"/>
  <c r="AF28" i="2"/>
  <c r="AE28" i="2"/>
  <c r="AC28" i="2"/>
  <c r="AB28" i="2"/>
  <c r="Y28" i="2"/>
  <c r="C28" i="2"/>
  <c r="U25" i="2"/>
  <c r="T25" i="2"/>
  <c r="D25" i="2"/>
  <c r="C25" i="2"/>
  <c r="P24" i="2"/>
  <c r="D24" i="2"/>
  <c r="U23" i="2"/>
  <c r="T23" i="2"/>
  <c r="Q23" i="2"/>
  <c r="P23" i="2"/>
  <c r="D23" i="2"/>
  <c r="C23" i="2"/>
  <c r="Q22" i="2"/>
  <c r="P22" i="2"/>
  <c r="D22" i="2"/>
  <c r="C22" i="2"/>
  <c r="U21" i="2"/>
  <c r="T21" i="2"/>
  <c r="Q21" i="2"/>
  <c r="P21" i="2"/>
  <c r="D21" i="2"/>
  <c r="C21" i="2"/>
  <c r="Q20" i="2"/>
  <c r="P20" i="2"/>
  <c r="D20" i="2"/>
  <c r="C20" i="2"/>
  <c r="T19" i="2"/>
  <c r="Q19" i="2"/>
  <c r="P19" i="2"/>
  <c r="D19" i="2"/>
  <c r="C19" i="2"/>
  <c r="Q18" i="2"/>
  <c r="P18" i="2"/>
  <c r="D18" i="2"/>
  <c r="C18" i="2"/>
  <c r="U17" i="2"/>
  <c r="T17" i="2"/>
  <c r="Q17" i="2"/>
  <c r="P17" i="2"/>
  <c r="D17" i="2"/>
  <c r="C17" i="2"/>
  <c r="Q16" i="2"/>
  <c r="P16" i="2"/>
  <c r="D16" i="2"/>
  <c r="C16" i="2"/>
  <c r="U15" i="2"/>
  <c r="T15" i="2"/>
  <c r="Q15" i="2"/>
  <c r="Q14" i="2"/>
  <c r="T13" i="2"/>
  <c r="P13" i="2"/>
  <c r="D13" i="2"/>
  <c r="C13" i="2"/>
  <c r="P12" i="2"/>
  <c r="D12" i="2"/>
  <c r="C12" i="2"/>
  <c r="T11" i="2"/>
  <c r="Q11" i="2"/>
  <c r="P11" i="2"/>
  <c r="D11" i="2"/>
  <c r="C11" i="2"/>
  <c r="Q10" i="2"/>
  <c r="P10" i="2"/>
  <c r="D10" i="2"/>
  <c r="C10" i="2"/>
  <c r="T9" i="2"/>
  <c r="Q9" i="2"/>
  <c r="P9" i="2"/>
  <c r="D9" i="2"/>
  <c r="Q8" i="2"/>
  <c r="P8" i="2"/>
  <c r="D8" i="2"/>
  <c r="T7" i="2"/>
  <c r="Q7" i="2"/>
  <c r="P7" i="2"/>
  <c r="D7" i="2"/>
  <c r="C7" i="2"/>
  <c r="Q6" i="2"/>
  <c r="P6" i="2"/>
  <c r="D6" i="2"/>
  <c r="C6" i="2"/>
  <c r="T5" i="2"/>
  <c r="Q5" i="2"/>
  <c r="P5" i="2"/>
  <c r="D5" i="2"/>
  <c r="C5" i="2"/>
  <c r="Q4" i="2"/>
  <c r="P4" i="2"/>
  <c r="D4" i="2"/>
  <c r="C4" i="2"/>
  <c r="U3" i="2"/>
  <c r="T3" i="2"/>
  <c r="Q3" i="2"/>
  <c r="Q2" i="2"/>
  <c r="I38" i="1"/>
  <c r="E38" i="1"/>
  <c r="I37" i="1"/>
  <c r="E37" i="1"/>
  <c r="I36" i="1"/>
  <c r="E36" i="1"/>
  <c r="I35" i="1"/>
  <c r="E35" i="1"/>
  <c r="I34" i="1"/>
  <c r="E34" i="1"/>
  <c r="I33" i="1"/>
  <c r="E33" i="1"/>
  <c r="I32" i="1"/>
  <c r="E32" i="1"/>
  <c r="I31" i="1"/>
  <c r="E31" i="1"/>
  <c r="I30" i="1"/>
  <c r="E30" i="1"/>
  <c r="I29" i="1"/>
  <c r="E29" i="1"/>
  <c r="I25" i="1"/>
  <c r="E25" i="1"/>
  <c r="I24" i="1"/>
  <c r="E24" i="1"/>
  <c r="I23" i="1"/>
  <c r="E23" i="1"/>
  <c r="I22" i="1"/>
  <c r="E22" i="1"/>
  <c r="I21" i="1"/>
  <c r="E21" i="1"/>
  <c r="I20" i="1"/>
  <c r="E20" i="1"/>
  <c r="I19" i="1"/>
  <c r="E19" i="1"/>
  <c r="I18" i="1"/>
  <c r="E18" i="1"/>
  <c r="I17" i="1"/>
  <c r="E17" i="1"/>
  <c r="I16" i="1"/>
  <c r="E16" i="1"/>
  <c r="V32" i="2" l="1"/>
  <c r="F200" i="5"/>
  <c r="F190" i="5"/>
  <c r="F192" i="5"/>
  <c r="F517" i="5"/>
  <c r="G517" i="5" s="1"/>
  <c r="F511" i="5"/>
  <c r="G511" i="5" s="1"/>
  <c r="S21" i="2" s="1"/>
  <c r="F502" i="5"/>
  <c r="F497" i="5"/>
  <c r="F499" i="5"/>
  <c r="G499" i="5" s="1"/>
  <c r="F513" i="5"/>
  <c r="F500" i="5"/>
  <c r="G500" i="5" s="1"/>
  <c r="H13" i="5"/>
  <c r="G24" i="5"/>
  <c r="G25" i="5"/>
  <c r="G26" i="5"/>
  <c r="G37" i="5"/>
  <c r="G48" i="5"/>
  <c r="G49" i="5"/>
  <c r="H61" i="5"/>
  <c r="G72" i="5"/>
  <c r="G73" i="5"/>
  <c r="G74" i="5"/>
  <c r="G85" i="5"/>
  <c r="F96" i="5"/>
  <c r="G96" i="5" s="1"/>
  <c r="I96" i="5" s="1"/>
  <c r="J118" i="5"/>
  <c r="E118" i="5"/>
  <c r="F120" i="5"/>
  <c r="G120" i="5" s="1"/>
  <c r="F173" i="5"/>
  <c r="G173" i="5" s="1"/>
  <c r="F177" i="5"/>
  <c r="G177" i="5" s="1"/>
  <c r="F199" i="5"/>
  <c r="F213" i="5"/>
  <c r="F227" i="5"/>
  <c r="F248" i="5"/>
  <c r="F450" i="5"/>
  <c r="F214" i="5"/>
  <c r="F216" i="5"/>
  <c r="F212" i="5"/>
  <c r="F2" i="5"/>
  <c r="J89" i="5"/>
  <c r="AC35" i="2" s="1"/>
  <c r="E89" i="5"/>
  <c r="F109" i="5"/>
  <c r="G109" i="5" s="1"/>
  <c r="I109" i="5" s="1"/>
  <c r="J111" i="5"/>
  <c r="AE37" i="2" s="1"/>
  <c r="E111" i="5"/>
  <c r="J115" i="5"/>
  <c r="AB37" i="2" s="1"/>
  <c r="E115" i="5"/>
  <c r="F174" i="5"/>
  <c r="G174" i="5" s="1"/>
  <c r="F178" i="5"/>
  <c r="G178" i="5" s="1"/>
  <c r="S4" i="2" s="1"/>
  <c r="F180" i="5"/>
  <c r="G180" i="5" s="1"/>
  <c r="F237" i="5"/>
  <c r="V30" i="2"/>
  <c r="V34" i="2"/>
  <c r="AF36" i="2"/>
  <c r="F464" i="5"/>
  <c r="F461" i="5"/>
  <c r="F473" i="5"/>
  <c r="F462" i="5"/>
  <c r="F238" i="5"/>
  <c r="F228" i="5"/>
  <c r="F230" i="5"/>
  <c r="E18" i="4"/>
  <c r="G2" i="5"/>
  <c r="G8" i="5"/>
  <c r="I8" i="5" s="1"/>
  <c r="J9" i="5"/>
  <c r="AA28" i="2" s="1"/>
  <c r="G13" i="5"/>
  <c r="I13" i="5" s="1"/>
  <c r="F14" i="5"/>
  <c r="G14" i="5" s="1"/>
  <c r="J19" i="5"/>
  <c r="AB29" i="2" s="1"/>
  <c r="H25" i="5"/>
  <c r="H20" i="5"/>
  <c r="I20" i="5" s="1"/>
  <c r="H24" i="5"/>
  <c r="J30" i="5"/>
  <c r="Z30" i="2" s="1"/>
  <c r="F32" i="5"/>
  <c r="G32" i="5" s="1"/>
  <c r="I32" i="5" s="1"/>
  <c r="F36" i="5"/>
  <c r="G36" i="5" s="1"/>
  <c r="I36" i="5" s="1"/>
  <c r="H37" i="5"/>
  <c r="G44" i="5"/>
  <c r="H48" i="5"/>
  <c r="H49" i="5"/>
  <c r="H44" i="5"/>
  <c r="J52" i="5"/>
  <c r="AD32" i="2" s="1"/>
  <c r="J54" i="5"/>
  <c r="Z32" i="2" s="1"/>
  <c r="G56" i="5"/>
  <c r="I56" i="5" s="1"/>
  <c r="J57" i="5"/>
  <c r="AA32" i="2" s="1"/>
  <c r="G61" i="5"/>
  <c r="I61" i="5" s="1"/>
  <c r="F62" i="5"/>
  <c r="G62" i="5" s="1"/>
  <c r="J67" i="5"/>
  <c r="AB33" i="2" s="1"/>
  <c r="H73" i="5"/>
  <c r="H68" i="5"/>
  <c r="I68" i="5" s="1"/>
  <c r="H72" i="5"/>
  <c r="J78" i="5"/>
  <c r="Z34" i="2" s="1"/>
  <c r="F80" i="5"/>
  <c r="G80" i="5" s="1"/>
  <c r="I80" i="5" s="1"/>
  <c r="F84" i="5"/>
  <c r="G84" i="5" s="1"/>
  <c r="I84" i="5" s="1"/>
  <c r="G86" i="5"/>
  <c r="F86" i="5"/>
  <c r="F98" i="5"/>
  <c r="G98" i="5" s="1"/>
  <c r="F175" i="5"/>
  <c r="G175" i="5" s="1"/>
  <c r="H184" i="5"/>
  <c r="H182" i="5"/>
  <c r="H185" i="5"/>
  <c r="H183" i="5"/>
  <c r="H177" i="5"/>
  <c r="H175" i="5"/>
  <c r="H173" i="5"/>
  <c r="H181" i="5"/>
  <c r="H170" i="5"/>
  <c r="H176" i="5"/>
  <c r="H174" i="5"/>
  <c r="H180" i="5"/>
  <c r="F489" i="5"/>
  <c r="F485" i="5"/>
  <c r="F493" i="5"/>
  <c r="F487" i="5"/>
  <c r="F252" i="5"/>
  <c r="F250" i="5"/>
  <c r="F566" i="5"/>
  <c r="G566" i="5" s="1"/>
  <c r="F570" i="5"/>
  <c r="F328" i="5"/>
  <c r="F326" i="5"/>
  <c r="G12" i="5"/>
  <c r="I12" i="5" s="1"/>
  <c r="H36" i="5"/>
  <c r="G38" i="5"/>
  <c r="F50" i="5"/>
  <c r="G50" i="5" s="1"/>
  <c r="G60" i="5"/>
  <c r="I60" i="5" s="1"/>
  <c r="H85" i="5"/>
  <c r="H74" i="5"/>
  <c r="H84" i="5"/>
  <c r="H96" i="5"/>
  <c r="H97" i="5"/>
  <c r="I97" i="5" s="1"/>
  <c r="H92" i="5"/>
  <c r="I92" i="5" s="1"/>
  <c r="J100" i="5"/>
  <c r="AD36" i="2" s="1"/>
  <c r="E100" i="5"/>
  <c r="F104" i="5"/>
  <c r="G104" i="5" s="1"/>
  <c r="I104" i="5" s="1"/>
  <c r="G108" i="5"/>
  <c r="G110" i="5"/>
  <c r="F116" i="5"/>
  <c r="G116" i="5" s="1"/>
  <c r="F161" i="5"/>
  <c r="G161" i="5" s="1"/>
  <c r="S2" i="2" s="1"/>
  <c r="F168" i="5"/>
  <c r="G168" i="5"/>
  <c r="G172" i="5"/>
  <c r="F172" i="5"/>
  <c r="F176" i="5"/>
  <c r="G176" i="5" s="1"/>
  <c r="G181" i="5"/>
  <c r="I181" i="5" s="1"/>
  <c r="F189" i="5"/>
  <c r="F210" i="5"/>
  <c r="F251" i="5"/>
  <c r="F551" i="5"/>
  <c r="F535" i="5"/>
  <c r="F314" i="5"/>
  <c r="F303" i="5"/>
  <c r="F305" i="5"/>
  <c r="F302" i="5"/>
  <c r="F121" i="5"/>
  <c r="G121" i="5" s="1"/>
  <c r="E123" i="5"/>
  <c r="E127" i="5"/>
  <c r="E131" i="5"/>
  <c r="E135" i="5"/>
  <c r="E139" i="5"/>
  <c r="E144" i="5"/>
  <c r="E154" i="5"/>
  <c r="F160" i="5"/>
  <c r="G160" i="5" s="1"/>
  <c r="E162" i="5"/>
  <c r="E166" i="5"/>
  <c r="F169" i="5"/>
  <c r="G169" i="5" s="1"/>
  <c r="S3" i="2" s="1"/>
  <c r="F170" i="5"/>
  <c r="G170" i="5" s="1"/>
  <c r="F181" i="5"/>
  <c r="F184" i="5"/>
  <c r="G184" i="5" s="1"/>
  <c r="F185" i="5"/>
  <c r="G185" i="5" s="1"/>
  <c r="F186" i="5"/>
  <c r="G186" i="5" s="1"/>
  <c r="G192" i="5"/>
  <c r="J193" i="5"/>
  <c r="J195" i="5"/>
  <c r="J197" i="5"/>
  <c r="U5" i="2" s="1"/>
  <c r="H206" i="5"/>
  <c r="H204" i="5"/>
  <c r="H202" i="5"/>
  <c r="H186" i="5"/>
  <c r="H207" i="5"/>
  <c r="H205" i="5"/>
  <c r="H203" i="5"/>
  <c r="G212" i="5"/>
  <c r="G216" i="5"/>
  <c r="S6" i="2" s="1"/>
  <c r="F222" i="5"/>
  <c r="G222" i="5" s="1"/>
  <c r="F223" i="5"/>
  <c r="G223" i="5" s="1"/>
  <c r="F224" i="5"/>
  <c r="G224" i="5" s="1"/>
  <c r="G230" i="5"/>
  <c r="J231" i="5"/>
  <c r="J233" i="5"/>
  <c r="J235" i="5"/>
  <c r="U7" i="2" s="1"/>
  <c r="H245" i="5"/>
  <c r="H243" i="5"/>
  <c r="H241" i="5"/>
  <c r="H244" i="5"/>
  <c r="H242" i="5"/>
  <c r="H240" i="5"/>
  <c r="H224" i="5"/>
  <c r="G250" i="5"/>
  <c r="J255" i="5"/>
  <c r="E255" i="5"/>
  <c r="G258" i="5"/>
  <c r="D259" i="5"/>
  <c r="E259" i="5" s="1"/>
  <c r="F258" i="5"/>
  <c r="G260" i="5"/>
  <c r="F260" i="5"/>
  <c r="F279" i="5"/>
  <c r="G279" i="5" s="1"/>
  <c r="F287" i="5"/>
  <c r="G287" i="5" s="1"/>
  <c r="F289" i="5"/>
  <c r="G289" i="5" s="1"/>
  <c r="F313" i="5"/>
  <c r="F342" i="5"/>
  <c r="H108" i="5"/>
  <c r="D183" i="5"/>
  <c r="E183" i="5" s="1"/>
  <c r="F182" i="5"/>
  <c r="G188" i="5"/>
  <c r="F218" i="5"/>
  <c r="G218" i="5" s="1"/>
  <c r="F219" i="5"/>
  <c r="D221" i="5"/>
  <c r="E221" i="5" s="1"/>
  <c r="F220" i="5"/>
  <c r="G226" i="5"/>
  <c r="F257" i="5"/>
  <c r="G257" i="5" s="1"/>
  <c r="F291" i="5"/>
  <c r="F577" i="5"/>
  <c r="G577" i="5" s="1"/>
  <c r="F586" i="5"/>
  <c r="F575" i="5"/>
  <c r="F339" i="5"/>
  <c r="F341" i="5"/>
  <c r="F338" i="5"/>
  <c r="G182" i="5"/>
  <c r="F188" i="5"/>
  <c r="G190" i="5"/>
  <c r="F191" i="5"/>
  <c r="G191" i="5" s="1"/>
  <c r="G200" i="5"/>
  <c r="S5" i="2" s="1"/>
  <c r="F206" i="5"/>
  <c r="G206" i="5" s="1"/>
  <c r="F207" i="5"/>
  <c r="G207" i="5" s="1"/>
  <c r="F208" i="5"/>
  <c r="G208" i="5" s="1"/>
  <c r="F211" i="5"/>
  <c r="G211" i="5" s="1"/>
  <c r="G214" i="5"/>
  <c r="F215" i="5"/>
  <c r="G215" i="5" s="1"/>
  <c r="H223" i="5"/>
  <c r="H221" i="5"/>
  <c r="H219" i="5"/>
  <c r="H208" i="5"/>
  <c r="H222" i="5"/>
  <c r="H220" i="5"/>
  <c r="H218" i="5"/>
  <c r="G219" i="5"/>
  <c r="I219" i="5" s="1"/>
  <c r="G220" i="5"/>
  <c r="F226" i="5"/>
  <c r="G228" i="5"/>
  <c r="F229" i="5"/>
  <c r="G229" i="5" s="1"/>
  <c r="G238" i="5"/>
  <c r="S7" i="2" s="1"/>
  <c r="F244" i="5"/>
  <c r="G244" i="5" s="1"/>
  <c r="F245" i="5"/>
  <c r="G245" i="5" s="1"/>
  <c r="F246" i="5"/>
  <c r="G246" i="5" s="1"/>
  <c r="F249" i="5"/>
  <c r="G249" i="5" s="1"/>
  <c r="G252" i="5"/>
  <c r="F253" i="5"/>
  <c r="G253" i="5" s="1"/>
  <c r="F256" i="5"/>
  <c r="G256" i="5" s="1"/>
  <c r="F262" i="5"/>
  <c r="G262" i="5" s="1"/>
  <c r="F264" i="5"/>
  <c r="G264" i="5" s="1"/>
  <c r="F266" i="5"/>
  <c r="G266" i="5" s="1"/>
  <c r="F268" i="5"/>
  <c r="G268" i="5" s="1"/>
  <c r="F275" i="5"/>
  <c r="G275" i="5"/>
  <c r="G280" i="5"/>
  <c r="F283" i="5"/>
  <c r="G283" i="5" s="1"/>
  <c r="F288" i="5"/>
  <c r="G288" i="5" s="1"/>
  <c r="F290" i="5"/>
  <c r="G290" i="5" s="1"/>
  <c r="F306" i="5"/>
  <c r="G189" i="5"/>
  <c r="G199" i="5"/>
  <c r="F202" i="5"/>
  <c r="G202" i="5" s="1"/>
  <c r="F203" i="5"/>
  <c r="G203" i="5" s="1"/>
  <c r="I203" i="5" s="1"/>
  <c r="D205" i="5"/>
  <c r="E205" i="5" s="1"/>
  <c r="F204" i="5"/>
  <c r="G204" i="5" s="1"/>
  <c r="G210" i="5"/>
  <c r="G213" i="5"/>
  <c r="G227" i="5"/>
  <c r="G237" i="5"/>
  <c r="F240" i="5"/>
  <c r="G240" i="5" s="1"/>
  <c r="F241" i="5"/>
  <c r="G241" i="5" s="1"/>
  <c r="I241" i="5" s="1"/>
  <c r="D243" i="5"/>
  <c r="E243" i="5" s="1"/>
  <c r="F242" i="5"/>
  <c r="G242" i="5" s="1"/>
  <c r="G248" i="5"/>
  <c r="G251" i="5"/>
  <c r="G254" i="5"/>
  <c r="S8" i="2" s="1"/>
  <c r="F254" i="5"/>
  <c r="F261" i="5"/>
  <c r="G261" i="5" s="1"/>
  <c r="F265" i="5"/>
  <c r="G265" i="5" s="1"/>
  <c r="F267" i="5"/>
  <c r="G267" i="5" s="1"/>
  <c r="J269" i="5"/>
  <c r="E269" i="5"/>
  <c r="J273" i="5"/>
  <c r="U9" i="2" s="1"/>
  <c r="E273" i="5"/>
  <c r="F276" i="5"/>
  <c r="G276" i="5" s="1"/>
  <c r="S9" i="2" s="1"/>
  <c r="F286" i="5"/>
  <c r="G286" i="5" s="1"/>
  <c r="F292" i="5"/>
  <c r="F324" i="5"/>
  <c r="F327" i="5"/>
  <c r="G351" i="5"/>
  <c r="E277" i="5"/>
  <c r="F278" i="5"/>
  <c r="G278" i="5" s="1"/>
  <c r="F280" i="5"/>
  <c r="D281" i="5"/>
  <c r="E281" i="5" s="1"/>
  <c r="F282" i="5"/>
  <c r="G282" i="5" s="1"/>
  <c r="F284" i="5"/>
  <c r="G284" i="5" s="1"/>
  <c r="F294" i="5"/>
  <c r="G294" i="5" s="1"/>
  <c r="F295" i="5"/>
  <c r="G295" i="5" s="1"/>
  <c r="D297" i="5"/>
  <c r="E297" i="5" s="1"/>
  <c r="F296" i="5"/>
  <c r="G296" i="5" s="1"/>
  <c r="G302" i="5"/>
  <c r="G305" i="5"/>
  <c r="J311" i="5"/>
  <c r="U11" i="2" s="1"/>
  <c r="H320" i="5"/>
  <c r="H318" i="5"/>
  <c r="H316" i="5"/>
  <c r="H300" i="5"/>
  <c r="H321" i="5"/>
  <c r="H319" i="5"/>
  <c r="H317" i="5"/>
  <c r="G326" i="5"/>
  <c r="F330" i="5"/>
  <c r="G330" i="5" s="1"/>
  <c r="F331" i="5"/>
  <c r="G331" i="5" s="1"/>
  <c r="D333" i="5"/>
  <c r="E333" i="5" s="1"/>
  <c r="F332" i="5"/>
  <c r="G332" i="5" s="1"/>
  <c r="G338" i="5"/>
  <c r="G341" i="5"/>
  <c r="J345" i="5"/>
  <c r="J347" i="5"/>
  <c r="U13" i="2" s="1"/>
  <c r="H355" i="5"/>
  <c r="H353" i="5"/>
  <c r="H351" i="5"/>
  <c r="H336" i="5"/>
  <c r="H354" i="5"/>
  <c r="H352" i="5"/>
  <c r="H350" i="5"/>
  <c r="J357" i="5"/>
  <c r="F407" i="5"/>
  <c r="G407" i="5" s="1"/>
  <c r="F416" i="5"/>
  <c r="G416" i="5" s="1"/>
  <c r="I416" i="5" s="1"/>
  <c r="G421" i="5"/>
  <c r="F421" i="5"/>
  <c r="F425" i="5"/>
  <c r="G425" i="5" s="1"/>
  <c r="F427" i="5"/>
  <c r="G427" i="5" s="1"/>
  <c r="F438" i="5"/>
  <c r="G438" i="5" s="1"/>
  <c r="I438" i="5" s="1"/>
  <c r="G443" i="5"/>
  <c r="F443" i="5"/>
  <c r="F447" i="5"/>
  <c r="G447" i="5" s="1"/>
  <c r="F449" i="5"/>
  <c r="F484" i="5"/>
  <c r="H298" i="5"/>
  <c r="H296" i="5"/>
  <c r="H294" i="5"/>
  <c r="H299" i="5"/>
  <c r="H297" i="5"/>
  <c r="H295" i="5"/>
  <c r="H334" i="5"/>
  <c r="H332" i="5"/>
  <c r="H330" i="5"/>
  <c r="H322" i="5"/>
  <c r="H335" i="5"/>
  <c r="H333" i="5"/>
  <c r="H331" i="5"/>
  <c r="G340" i="5"/>
  <c r="J363" i="5"/>
  <c r="E363" i="5"/>
  <c r="J367" i="5"/>
  <c r="E367" i="5"/>
  <c r="J371" i="5"/>
  <c r="E371" i="5"/>
  <c r="F395" i="5"/>
  <c r="G395" i="5"/>
  <c r="G417" i="5"/>
  <c r="D418" i="5"/>
  <c r="E418" i="5" s="1"/>
  <c r="F417" i="5"/>
  <c r="G439" i="5"/>
  <c r="D440" i="5"/>
  <c r="E440" i="5" s="1"/>
  <c r="F439" i="5"/>
  <c r="F496" i="5"/>
  <c r="H284" i="5"/>
  <c r="J293" i="5"/>
  <c r="G303" i="5"/>
  <c r="F304" i="5"/>
  <c r="G304" i="5" s="1"/>
  <c r="G314" i="5"/>
  <c r="S11" i="2" s="1"/>
  <c r="F320" i="5"/>
  <c r="G320" i="5" s="1"/>
  <c r="F321" i="5"/>
  <c r="G321" i="5" s="1"/>
  <c r="F322" i="5"/>
  <c r="G322" i="5" s="1"/>
  <c r="F325" i="5"/>
  <c r="G325" i="5" s="1"/>
  <c r="H326" i="5"/>
  <c r="G328" i="5"/>
  <c r="J329" i="5"/>
  <c r="G339" i="5"/>
  <c r="F340" i="5"/>
  <c r="F354" i="5"/>
  <c r="G354" i="5" s="1"/>
  <c r="F355" i="5"/>
  <c r="G355" i="5" s="1"/>
  <c r="F404" i="5"/>
  <c r="G404" i="5" s="1"/>
  <c r="S15" i="2" s="1"/>
  <c r="F408" i="5"/>
  <c r="G408" i="5" s="1"/>
  <c r="F410" i="5"/>
  <c r="G410" i="5" s="1"/>
  <c r="F412" i="5"/>
  <c r="G412" i="5" s="1"/>
  <c r="F419" i="5"/>
  <c r="G419" i="5" s="1"/>
  <c r="G426" i="5"/>
  <c r="F434" i="5"/>
  <c r="G434" i="5" s="1"/>
  <c r="G441" i="5"/>
  <c r="F441" i="5"/>
  <c r="F463" i="5"/>
  <c r="G463" i="5" s="1"/>
  <c r="G291" i="5"/>
  <c r="G292" i="5"/>
  <c r="S10" i="2" s="1"/>
  <c r="F298" i="5"/>
  <c r="G298" i="5" s="1"/>
  <c r="F299" i="5"/>
  <c r="G299" i="5" s="1"/>
  <c r="F300" i="5"/>
  <c r="G300" i="5" s="1"/>
  <c r="G306" i="5"/>
  <c r="G313" i="5"/>
  <c r="F316" i="5"/>
  <c r="G316" i="5" s="1"/>
  <c r="F317" i="5"/>
  <c r="G317" i="5" s="1"/>
  <c r="I317" i="5" s="1"/>
  <c r="D319" i="5"/>
  <c r="E319" i="5" s="1"/>
  <c r="F318" i="5"/>
  <c r="G318" i="5" s="1"/>
  <c r="G324" i="5"/>
  <c r="G327" i="5"/>
  <c r="F334" i="5"/>
  <c r="G334" i="5" s="1"/>
  <c r="F335" i="5"/>
  <c r="G335" i="5" s="1"/>
  <c r="F336" i="5"/>
  <c r="G336" i="5" s="1"/>
  <c r="G342" i="5"/>
  <c r="F350" i="5"/>
  <c r="G350" i="5" s="1"/>
  <c r="F351" i="5"/>
  <c r="D353" i="5"/>
  <c r="E353" i="5" s="1"/>
  <c r="F352" i="5"/>
  <c r="G352" i="5" s="1"/>
  <c r="F396" i="5"/>
  <c r="G396" i="5" s="1"/>
  <c r="S14" i="2" s="1"/>
  <c r="F405" i="5"/>
  <c r="G405" i="5"/>
  <c r="F415" i="5"/>
  <c r="G415" i="5" s="1"/>
  <c r="F420" i="5"/>
  <c r="G420" i="5"/>
  <c r="F437" i="5"/>
  <c r="G437" i="5" s="1"/>
  <c r="F442" i="5"/>
  <c r="G442" i="5"/>
  <c r="F488" i="5"/>
  <c r="H409" i="5"/>
  <c r="H411" i="5"/>
  <c r="H424" i="5"/>
  <c r="H426" i="5"/>
  <c r="H446" i="5"/>
  <c r="H448" i="5"/>
  <c r="H450" i="5"/>
  <c r="J452" i="5"/>
  <c r="G462" i="5"/>
  <c r="G473" i="5"/>
  <c r="S19" i="2" s="1"/>
  <c r="F479" i="5"/>
  <c r="G479" i="5" s="1"/>
  <c r="F480" i="5"/>
  <c r="G480" i="5" s="1"/>
  <c r="F481" i="5"/>
  <c r="G481" i="5" s="1"/>
  <c r="G487" i="5"/>
  <c r="H496" i="5"/>
  <c r="H495" i="5"/>
  <c r="H481" i="5"/>
  <c r="H492" i="5"/>
  <c r="H491" i="5"/>
  <c r="D494" i="5"/>
  <c r="E494" i="5" s="1"/>
  <c r="H494" i="5"/>
  <c r="F519" i="5"/>
  <c r="G519" i="5" s="1"/>
  <c r="F522" i="5"/>
  <c r="G522" i="5" s="1"/>
  <c r="F525" i="5"/>
  <c r="G525" i="5"/>
  <c r="F531" i="5"/>
  <c r="G531" i="5" s="1"/>
  <c r="D532" i="5"/>
  <c r="E532" i="5" s="1"/>
  <c r="G535" i="5"/>
  <c r="H416" i="5"/>
  <c r="H418" i="5"/>
  <c r="H420" i="5"/>
  <c r="H438" i="5"/>
  <c r="H440" i="5"/>
  <c r="H442" i="5"/>
  <c r="F457" i="5"/>
  <c r="F458" i="5"/>
  <c r="F459" i="5"/>
  <c r="G472" i="5"/>
  <c r="F475" i="5"/>
  <c r="F476" i="5"/>
  <c r="D478" i="5"/>
  <c r="E478" i="5" s="1"/>
  <c r="F477" i="5"/>
  <c r="G477" i="5" s="1"/>
  <c r="F495" i="5"/>
  <c r="G495" i="5" s="1"/>
  <c r="F515" i="5"/>
  <c r="F521" i="5"/>
  <c r="G521" i="5" s="1"/>
  <c r="F527" i="5"/>
  <c r="F539" i="5"/>
  <c r="G539" i="5" s="1"/>
  <c r="E380" i="5"/>
  <c r="E390" i="5"/>
  <c r="E398" i="5"/>
  <c r="E402" i="5"/>
  <c r="F403" i="5"/>
  <c r="G403" i="5" s="1"/>
  <c r="H408" i="5"/>
  <c r="F409" i="5"/>
  <c r="G409" i="5" s="1"/>
  <c r="H410" i="5"/>
  <c r="F411" i="5"/>
  <c r="G411" i="5" s="1"/>
  <c r="H412" i="5"/>
  <c r="F413" i="5"/>
  <c r="G413" i="5" s="1"/>
  <c r="S16" i="2" s="1"/>
  <c r="E422" i="5"/>
  <c r="F423" i="5"/>
  <c r="G423" i="5" s="1"/>
  <c r="F424" i="5"/>
  <c r="G424" i="5" s="1"/>
  <c r="H425" i="5"/>
  <c r="F426" i="5"/>
  <c r="H427" i="5"/>
  <c r="E431" i="5"/>
  <c r="H434" i="5"/>
  <c r="F435" i="5"/>
  <c r="G435" i="5" s="1"/>
  <c r="S17" i="2" s="1"/>
  <c r="E444" i="5"/>
  <c r="F445" i="5"/>
  <c r="G445" i="5" s="1"/>
  <c r="F446" i="5"/>
  <c r="G446" i="5" s="1"/>
  <c r="F448" i="5"/>
  <c r="G448" i="5" s="1"/>
  <c r="G450" i="5"/>
  <c r="F451" i="5"/>
  <c r="G451" i="5" s="1"/>
  <c r="S18" i="2" s="1"/>
  <c r="F453" i="5"/>
  <c r="G453" i="5" s="1"/>
  <c r="F454" i="5"/>
  <c r="G454" i="5" s="1"/>
  <c r="D456" i="5"/>
  <c r="E456" i="5" s="1"/>
  <c r="F455" i="5"/>
  <c r="G455" i="5" s="1"/>
  <c r="G457" i="5"/>
  <c r="G458" i="5"/>
  <c r="G459" i="5"/>
  <c r="G461" i="5"/>
  <c r="G464" i="5"/>
  <c r="F465" i="5"/>
  <c r="G465" i="5" s="1"/>
  <c r="J470" i="5"/>
  <c r="U19" i="2" s="1"/>
  <c r="F472" i="5"/>
  <c r="H479" i="5"/>
  <c r="H477" i="5"/>
  <c r="H475" i="5"/>
  <c r="H459" i="5"/>
  <c r="H480" i="5"/>
  <c r="H478" i="5"/>
  <c r="H476" i="5"/>
  <c r="G475" i="5"/>
  <c r="G476" i="5"/>
  <c r="I476" i="5" s="1"/>
  <c r="F483" i="5"/>
  <c r="G483" i="5" s="1"/>
  <c r="G485" i="5"/>
  <c r="F486" i="5"/>
  <c r="G486" i="5" s="1"/>
  <c r="H487" i="5"/>
  <c r="G489" i="5"/>
  <c r="S20" i="2" s="1"/>
  <c r="F492" i="5"/>
  <c r="G492" i="5" s="1"/>
  <c r="I492" i="5" s="1"/>
  <c r="H493" i="5"/>
  <c r="G497" i="5"/>
  <c r="G502" i="5"/>
  <c r="F503" i="5"/>
  <c r="G503" i="5" s="1"/>
  <c r="G515" i="5"/>
  <c r="F518" i="5"/>
  <c r="G518" i="5" s="1"/>
  <c r="F523" i="5"/>
  <c r="G523" i="5" s="1"/>
  <c r="F524" i="5"/>
  <c r="G524" i="5" s="1"/>
  <c r="G527" i="5"/>
  <c r="S22" i="2" s="1"/>
  <c r="F529" i="5"/>
  <c r="G529" i="5" s="1"/>
  <c r="F534" i="5"/>
  <c r="G534" i="5" s="1"/>
  <c r="F538" i="5"/>
  <c r="G538" i="5" s="1"/>
  <c r="G541" i="5"/>
  <c r="F541" i="5"/>
  <c r="F549" i="5"/>
  <c r="G549" i="5" s="1"/>
  <c r="S23" i="2" s="1"/>
  <c r="H415" i="5"/>
  <c r="H417" i="5"/>
  <c r="H437" i="5"/>
  <c r="H439" i="5"/>
  <c r="G449" i="5"/>
  <c r="H457" i="5"/>
  <c r="H455" i="5"/>
  <c r="H453" i="5"/>
  <c r="H458" i="5"/>
  <c r="H456" i="5"/>
  <c r="H454" i="5"/>
  <c r="G484" i="5"/>
  <c r="G488" i="5"/>
  <c r="F491" i="5"/>
  <c r="G491" i="5" s="1"/>
  <c r="G496" i="5"/>
  <c r="F501" i="5"/>
  <c r="G501" i="5" s="1"/>
  <c r="F510" i="5"/>
  <c r="G510" i="5" s="1"/>
  <c r="G513" i="5"/>
  <c r="F514" i="5"/>
  <c r="G514" i="5" s="1"/>
  <c r="I514" i="5" s="1"/>
  <c r="D516" i="5"/>
  <c r="E516" i="5" s="1"/>
  <c r="F526" i="5"/>
  <c r="G526" i="5" s="1"/>
  <c r="F530" i="5"/>
  <c r="G530" i="5" s="1"/>
  <c r="I530" i="5" s="1"/>
  <c r="F540" i="5"/>
  <c r="G540" i="5" s="1"/>
  <c r="G493" i="5"/>
  <c r="H502" i="5"/>
  <c r="H500" i="5"/>
  <c r="H519" i="5"/>
  <c r="H523" i="5"/>
  <c r="H535" i="5"/>
  <c r="H540" i="5"/>
  <c r="E542" i="5"/>
  <c r="J545" i="5"/>
  <c r="E547" i="5"/>
  <c r="F548" i="5"/>
  <c r="G548" i="5" s="1"/>
  <c r="G551" i="5"/>
  <c r="F560" i="5"/>
  <c r="G560" i="5" s="1"/>
  <c r="G570" i="5"/>
  <c r="H526" i="5"/>
  <c r="H524" i="5"/>
  <c r="H522" i="5"/>
  <c r="H529" i="5"/>
  <c r="F537" i="5"/>
  <c r="F563" i="5"/>
  <c r="G563" i="5" s="1"/>
  <c r="F573" i="5"/>
  <c r="G573" i="5" s="1"/>
  <c r="H515" i="5"/>
  <c r="H516" i="5"/>
  <c r="H525" i="5"/>
  <c r="H530" i="5"/>
  <c r="H531" i="5"/>
  <c r="F533" i="5"/>
  <c r="G533" i="5" s="1"/>
  <c r="G537" i="5"/>
  <c r="E546" i="5"/>
  <c r="G552" i="5"/>
  <c r="I552" i="5" s="1"/>
  <c r="F552" i="5"/>
  <c r="F556" i="5"/>
  <c r="G556" i="5" s="1"/>
  <c r="F561" i="5"/>
  <c r="G561" i="5" s="1"/>
  <c r="G575" i="5"/>
  <c r="H556" i="5"/>
  <c r="H548" i="5"/>
  <c r="H541" i="5"/>
  <c r="H539" i="5"/>
  <c r="H555" i="5"/>
  <c r="H554" i="5"/>
  <c r="H552" i="5"/>
  <c r="H553" i="5"/>
  <c r="H551" i="5"/>
  <c r="G553" i="5"/>
  <c r="D554" i="5"/>
  <c r="E554" i="5" s="1"/>
  <c r="F553" i="5"/>
  <c r="F557" i="5"/>
  <c r="G557" i="5" s="1"/>
  <c r="F562" i="5"/>
  <c r="G562" i="5"/>
  <c r="F565" i="5"/>
  <c r="G565" i="5" s="1"/>
  <c r="F569" i="5"/>
  <c r="G569" i="5" s="1"/>
  <c r="F559" i="5"/>
  <c r="G559" i="5" s="1"/>
  <c r="F576" i="5"/>
  <c r="F589" i="5"/>
  <c r="G589" i="5" s="1"/>
  <c r="F555" i="5"/>
  <c r="G555" i="5" s="1"/>
  <c r="F571" i="5"/>
  <c r="G571" i="5" s="1"/>
  <c r="J572" i="5"/>
  <c r="P25" i="2" s="1"/>
  <c r="G576" i="5"/>
  <c r="F590" i="5"/>
  <c r="G590" i="5" s="1"/>
  <c r="D568" i="5"/>
  <c r="E568" i="5" s="1"/>
  <c r="F574" i="5"/>
  <c r="D588" i="5"/>
  <c r="E588" i="5" s="1"/>
  <c r="F587" i="5"/>
  <c r="E564" i="5"/>
  <c r="F567" i="5"/>
  <c r="G567" i="5" s="1"/>
  <c r="G574" i="5"/>
  <c r="F585" i="5"/>
  <c r="G585" i="5" s="1"/>
  <c r="G586" i="5"/>
  <c r="G587" i="5"/>
  <c r="J591" i="5"/>
  <c r="E591" i="5"/>
  <c r="H575" i="5"/>
  <c r="H577" i="5"/>
  <c r="H586" i="5"/>
  <c r="H588" i="5"/>
  <c r="I529" i="5" l="1"/>
  <c r="O22" i="2"/>
  <c r="I590" i="5"/>
  <c r="J25" i="2"/>
  <c r="I555" i="5"/>
  <c r="I23" i="2"/>
  <c r="I24" i="2"/>
  <c r="G24" i="2"/>
  <c r="I533" i="5"/>
  <c r="I22" i="2"/>
  <c r="I548" i="5"/>
  <c r="R23" i="2"/>
  <c r="I491" i="5"/>
  <c r="O20" i="2"/>
  <c r="I486" i="5"/>
  <c r="M20" i="2"/>
  <c r="I424" i="5"/>
  <c r="K17" i="2"/>
  <c r="I437" i="5"/>
  <c r="O17" i="2"/>
  <c r="I336" i="5"/>
  <c r="G13" i="2"/>
  <c r="I316" i="5"/>
  <c r="O11" i="2"/>
  <c r="I299" i="5"/>
  <c r="J10" i="2"/>
  <c r="I463" i="5"/>
  <c r="L19" i="2"/>
  <c r="I240" i="5"/>
  <c r="O7" i="2"/>
  <c r="I202" i="5"/>
  <c r="O5" i="2"/>
  <c r="I290" i="5"/>
  <c r="N10" i="2"/>
  <c r="I211" i="5"/>
  <c r="K6" i="2"/>
  <c r="I289" i="5"/>
  <c r="M10" i="2"/>
  <c r="W32" i="2"/>
  <c r="I50" i="5"/>
  <c r="X32" i="2" s="1"/>
  <c r="I173" i="5"/>
  <c r="K4" i="2"/>
  <c r="I589" i="5"/>
  <c r="I25" i="2"/>
  <c r="I538" i="5"/>
  <c r="K23" i="2"/>
  <c r="I503" i="5"/>
  <c r="N21" i="2"/>
  <c r="I411" i="5"/>
  <c r="N16" i="2"/>
  <c r="I403" i="5"/>
  <c r="R15" i="2"/>
  <c r="I335" i="5"/>
  <c r="J12" i="2"/>
  <c r="I318" i="5"/>
  <c r="H11" i="2" s="1"/>
  <c r="E11" i="2"/>
  <c r="I298" i="5"/>
  <c r="I10" i="2"/>
  <c r="I419" i="5"/>
  <c r="I16" i="2"/>
  <c r="I325" i="5"/>
  <c r="K12" i="2"/>
  <c r="I242" i="5"/>
  <c r="H7" i="2" s="1"/>
  <c r="E7" i="2"/>
  <c r="I204" i="5"/>
  <c r="H5" i="2" s="1"/>
  <c r="E5" i="2"/>
  <c r="I288" i="5"/>
  <c r="L10" i="2"/>
  <c r="G9" i="2"/>
  <c r="K8" i="2"/>
  <c r="I191" i="5"/>
  <c r="M5" i="2"/>
  <c r="I218" i="5"/>
  <c r="O6" i="2"/>
  <c r="I287" i="5"/>
  <c r="K10" i="2"/>
  <c r="I176" i="5"/>
  <c r="N4" i="2"/>
  <c r="I62" i="5"/>
  <c r="X33" i="2" s="1"/>
  <c r="W33" i="2"/>
  <c r="I565" i="5"/>
  <c r="O24" i="2"/>
  <c r="I510" i="5"/>
  <c r="R21" i="2"/>
  <c r="E24" i="2"/>
  <c r="I560" i="5"/>
  <c r="K24" i="2"/>
  <c r="I501" i="5"/>
  <c r="L21" i="2"/>
  <c r="I465" i="5"/>
  <c r="N19" i="2"/>
  <c r="I448" i="5"/>
  <c r="M18" i="2"/>
  <c r="I495" i="5"/>
  <c r="I20" i="2"/>
  <c r="I350" i="5"/>
  <c r="O13" i="2"/>
  <c r="I334" i="5"/>
  <c r="I12" i="2"/>
  <c r="I304" i="5"/>
  <c r="L11" i="2"/>
  <c r="I284" i="5"/>
  <c r="G10" i="2"/>
  <c r="O9" i="2"/>
  <c r="M9" i="2"/>
  <c r="I268" i="5"/>
  <c r="N9" i="2"/>
  <c r="O8" i="2"/>
  <c r="I229" i="5"/>
  <c r="M7" i="2"/>
  <c r="I215" i="5"/>
  <c r="R6" i="2"/>
  <c r="I170" i="5"/>
  <c r="G4" i="2"/>
  <c r="I160" i="5"/>
  <c r="R2" i="2"/>
  <c r="I121" i="5"/>
  <c r="I175" i="5"/>
  <c r="M4" i="2"/>
  <c r="I174" i="5"/>
  <c r="L4" i="2"/>
  <c r="I571" i="5"/>
  <c r="G25" i="2"/>
  <c r="N24" i="2"/>
  <c r="I540" i="5"/>
  <c r="M23" i="2"/>
  <c r="I518" i="5"/>
  <c r="J21" i="2"/>
  <c r="I446" i="5"/>
  <c r="K18" i="2"/>
  <c r="I409" i="5"/>
  <c r="L16" i="2"/>
  <c r="I477" i="5"/>
  <c r="H19" i="2" s="1"/>
  <c r="E19" i="2"/>
  <c r="I531" i="5"/>
  <c r="H22" i="2" s="1"/>
  <c r="E22" i="2"/>
  <c r="I415" i="5"/>
  <c r="O16" i="2"/>
  <c r="I352" i="5"/>
  <c r="H13" i="2" s="1"/>
  <c r="E13" i="2"/>
  <c r="I300" i="5"/>
  <c r="G11" i="2"/>
  <c r="I9" i="2"/>
  <c r="K9" i="2"/>
  <c r="L9" i="2"/>
  <c r="R8" i="2"/>
  <c r="I98" i="5"/>
  <c r="X36" i="2" s="1"/>
  <c r="W36" i="2"/>
  <c r="I14" i="5"/>
  <c r="X29" i="2" s="1"/>
  <c r="W29" i="2"/>
  <c r="I177" i="5"/>
  <c r="R4" i="2"/>
  <c r="I553" i="5"/>
  <c r="H23" i="2" s="1"/>
  <c r="E23" i="2"/>
  <c r="I586" i="5"/>
  <c r="H563" i="5"/>
  <c r="I563" i="5" s="1"/>
  <c r="H561" i="5"/>
  <c r="I561" i="5" s="1"/>
  <c r="H565" i="5"/>
  <c r="H562" i="5"/>
  <c r="I562" i="5" s="1"/>
  <c r="H557" i="5"/>
  <c r="I557" i="5" s="1"/>
  <c r="H570" i="5"/>
  <c r="H569" i="5"/>
  <c r="I569" i="5" s="1"/>
  <c r="H568" i="5"/>
  <c r="H560" i="5"/>
  <c r="H567" i="5"/>
  <c r="I567" i="5" s="1"/>
  <c r="H24" i="2" s="1"/>
  <c r="H566" i="5"/>
  <c r="C24" i="2"/>
  <c r="I576" i="5"/>
  <c r="M25" i="2"/>
  <c r="M24" i="2"/>
  <c r="I493" i="5"/>
  <c r="H20" i="2" s="1"/>
  <c r="E20" i="2"/>
  <c r="I513" i="5"/>
  <c r="O21" i="2"/>
  <c r="I484" i="5"/>
  <c r="K20" i="2"/>
  <c r="I541" i="5"/>
  <c r="N23" i="2"/>
  <c r="I515" i="5"/>
  <c r="H21" i="2" s="1"/>
  <c r="E21" i="2"/>
  <c r="I497" i="5"/>
  <c r="G21" i="2"/>
  <c r="F456" i="5"/>
  <c r="G456" i="5"/>
  <c r="I585" i="5"/>
  <c r="O25" i="2"/>
  <c r="F554" i="5"/>
  <c r="G554" i="5" s="1"/>
  <c r="L24" i="2"/>
  <c r="I551" i="5"/>
  <c r="O23" i="2"/>
  <c r="F516" i="5"/>
  <c r="G516" i="5" s="1"/>
  <c r="I496" i="5"/>
  <c r="J20" i="2"/>
  <c r="I458" i="5"/>
  <c r="J18" i="2"/>
  <c r="I454" i="5"/>
  <c r="I519" i="5"/>
  <c r="G22" i="2"/>
  <c r="I487" i="5"/>
  <c r="N20" i="2"/>
  <c r="I313" i="5"/>
  <c r="R11" i="2"/>
  <c r="I434" i="5"/>
  <c r="R17" i="2"/>
  <c r="I320" i="5"/>
  <c r="I11" i="2"/>
  <c r="F418" i="5"/>
  <c r="G418" i="5" s="1"/>
  <c r="I332" i="5"/>
  <c r="H12" i="2" s="1"/>
  <c r="E12" i="2"/>
  <c r="I326" i="5"/>
  <c r="L12" i="2"/>
  <c r="F297" i="5"/>
  <c r="G297" i="5" s="1"/>
  <c r="H282" i="5"/>
  <c r="I282" i="5" s="1"/>
  <c r="H280" i="5"/>
  <c r="H278" i="5"/>
  <c r="I278" i="5" s="1"/>
  <c r="H262" i="5"/>
  <c r="I262" i="5" s="1"/>
  <c r="H275" i="5"/>
  <c r="I275" i="5" s="1"/>
  <c r="H268" i="5"/>
  <c r="H266" i="5"/>
  <c r="I266" i="5" s="1"/>
  <c r="H283" i="5"/>
  <c r="H281" i="5"/>
  <c r="H279" i="5"/>
  <c r="H267" i="5"/>
  <c r="I267" i="5" s="1"/>
  <c r="H265" i="5"/>
  <c r="I265" i="5" s="1"/>
  <c r="C9" i="2"/>
  <c r="M8" i="2"/>
  <c r="I213" i="5"/>
  <c r="M6" i="2"/>
  <c r="N8" i="2"/>
  <c r="I244" i="5"/>
  <c r="I7" i="2"/>
  <c r="I214" i="5"/>
  <c r="N6" i="2"/>
  <c r="I206" i="5"/>
  <c r="I5" i="2"/>
  <c r="I230" i="5"/>
  <c r="N7" i="2"/>
  <c r="I192" i="5"/>
  <c r="N5" i="2"/>
  <c r="H121" i="5"/>
  <c r="H116" i="5"/>
  <c r="I116" i="5" s="1"/>
  <c r="H110" i="5"/>
  <c r="H120" i="5"/>
  <c r="C37" i="2"/>
  <c r="I85" i="5"/>
  <c r="W30" i="2"/>
  <c r="I26" i="5"/>
  <c r="X30" i="2" s="1"/>
  <c r="I500" i="5"/>
  <c r="K21" i="2"/>
  <c r="I556" i="5"/>
  <c r="J23" i="2"/>
  <c r="I453" i="5"/>
  <c r="O18" i="2"/>
  <c r="I539" i="5"/>
  <c r="L23" i="2"/>
  <c r="I472" i="5"/>
  <c r="R19" i="2"/>
  <c r="I525" i="5"/>
  <c r="N22" i="2"/>
  <c r="I462" i="5"/>
  <c r="K19" i="2"/>
  <c r="F319" i="5"/>
  <c r="G319" i="5"/>
  <c r="I306" i="5"/>
  <c r="N11" i="2"/>
  <c r="I426" i="5"/>
  <c r="M17" i="2"/>
  <c r="I412" i="5"/>
  <c r="R16" i="2"/>
  <c r="I339" i="5"/>
  <c r="K13" i="2"/>
  <c r="F440" i="5"/>
  <c r="G440" i="5"/>
  <c r="I417" i="5"/>
  <c r="H16" i="2" s="1"/>
  <c r="E16" i="2"/>
  <c r="I443" i="5"/>
  <c r="G18" i="2"/>
  <c r="I427" i="5"/>
  <c r="N17" i="2"/>
  <c r="I421" i="5"/>
  <c r="G17" i="2"/>
  <c r="F333" i="5"/>
  <c r="G333" i="5"/>
  <c r="I305" i="5"/>
  <c r="M11" i="2"/>
  <c r="I295" i="5"/>
  <c r="G281" i="5"/>
  <c r="F281" i="5"/>
  <c r="I351" i="5"/>
  <c r="J8" i="2"/>
  <c r="R9" i="2"/>
  <c r="I220" i="5"/>
  <c r="H6" i="2" s="1"/>
  <c r="E6" i="2"/>
  <c r="I182" i="5"/>
  <c r="H4" i="2" s="1"/>
  <c r="E4" i="2"/>
  <c r="I279" i="5"/>
  <c r="F259" i="5"/>
  <c r="G259" i="5"/>
  <c r="L8" i="2"/>
  <c r="I224" i="5"/>
  <c r="G7" i="2"/>
  <c r="I212" i="5"/>
  <c r="L6" i="2"/>
  <c r="I186" i="5"/>
  <c r="G5" i="2"/>
  <c r="I110" i="5"/>
  <c r="X37" i="2" s="1"/>
  <c r="W37" i="2"/>
  <c r="I566" i="5"/>
  <c r="I86" i="5"/>
  <c r="X35" i="2" s="1"/>
  <c r="W35" i="2"/>
  <c r="I180" i="5"/>
  <c r="O4" i="2"/>
  <c r="I74" i="5"/>
  <c r="X34" i="2" s="1"/>
  <c r="W34" i="2"/>
  <c r="I49" i="5"/>
  <c r="I25" i="5"/>
  <c r="G588" i="5"/>
  <c r="F588" i="5"/>
  <c r="I570" i="5"/>
  <c r="J24" i="2"/>
  <c r="I464" i="5"/>
  <c r="M19" i="2"/>
  <c r="I457" i="5"/>
  <c r="I18" i="2"/>
  <c r="I535" i="5"/>
  <c r="G23" i="2"/>
  <c r="I481" i="5"/>
  <c r="G20" i="2"/>
  <c r="I587" i="5"/>
  <c r="H25" i="2" s="1"/>
  <c r="E25" i="2"/>
  <c r="I488" i="5"/>
  <c r="R20" i="2"/>
  <c r="I534" i="5"/>
  <c r="J22" i="2"/>
  <c r="I524" i="5"/>
  <c r="M22" i="2"/>
  <c r="I502" i="5"/>
  <c r="M21" i="2"/>
  <c r="I485" i="5"/>
  <c r="L20" i="2"/>
  <c r="I475" i="5"/>
  <c r="O19" i="2"/>
  <c r="I455" i="5"/>
  <c r="H18" i="2" s="1"/>
  <c r="E18" i="2"/>
  <c r="F478" i="5"/>
  <c r="G478" i="5" s="1"/>
  <c r="G532" i="5"/>
  <c r="F532" i="5"/>
  <c r="G494" i="5"/>
  <c r="F494" i="5"/>
  <c r="I480" i="5"/>
  <c r="J19" i="2"/>
  <c r="I342" i="5"/>
  <c r="N13" i="2"/>
  <c r="I327" i="5"/>
  <c r="M12" i="2"/>
  <c r="I291" i="5"/>
  <c r="R10" i="2"/>
  <c r="I410" i="5"/>
  <c r="M16" i="2"/>
  <c r="I355" i="5"/>
  <c r="J13" i="2"/>
  <c r="I322" i="5"/>
  <c r="G12" i="2"/>
  <c r="I439" i="5"/>
  <c r="H17" i="2" s="1"/>
  <c r="E17" i="2"/>
  <c r="I447" i="5"/>
  <c r="L18" i="2"/>
  <c r="I425" i="5"/>
  <c r="L17" i="2"/>
  <c r="I341" i="5"/>
  <c r="M13" i="2"/>
  <c r="I331" i="5"/>
  <c r="I294" i="5"/>
  <c r="O10" i="2"/>
  <c r="I237" i="5"/>
  <c r="R7" i="2"/>
  <c r="I199" i="5"/>
  <c r="R5" i="2"/>
  <c r="I283" i="5"/>
  <c r="J9" i="2"/>
  <c r="G8" i="2"/>
  <c r="I208" i="5"/>
  <c r="G6" i="2"/>
  <c r="E8" i="2"/>
  <c r="I223" i="5"/>
  <c r="J6" i="2"/>
  <c r="I185" i="5"/>
  <c r="J4" i="2"/>
  <c r="I108" i="5"/>
  <c r="I44" i="5"/>
  <c r="I73" i="5"/>
  <c r="I48" i="5"/>
  <c r="I24" i="5"/>
  <c r="I517" i="5"/>
  <c r="I21" i="2"/>
  <c r="I574" i="5"/>
  <c r="K25" i="2"/>
  <c r="F568" i="5"/>
  <c r="G568" i="5" s="1"/>
  <c r="I575" i="5"/>
  <c r="L25" i="2"/>
  <c r="I526" i="5"/>
  <c r="R22" i="2"/>
  <c r="I449" i="5"/>
  <c r="N18" i="2"/>
  <c r="I523" i="5"/>
  <c r="L22" i="2"/>
  <c r="I459" i="5"/>
  <c r="G19" i="2"/>
  <c r="I450" i="5"/>
  <c r="R18" i="2"/>
  <c r="I522" i="5"/>
  <c r="K22" i="2"/>
  <c r="I479" i="5"/>
  <c r="I19" i="2"/>
  <c r="I442" i="5"/>
  <c r="J17" i="2"/>
  <c r="I420" i="5"/>
  <c r="J16" i="2"/>
  <c r="I405" i="5"/>
  <c r="G16" i="2"/>
  <c r="F353" i="5"/>
  <c r="G353" i="5" s="1"/>
  <c r="I441" i="5"/>
  <c r="I17" i="2"/>
  <c r="I408" i="5"/>
  <c r="K16" i="2"/>
  <c r="I354" i="5"/>
  <c r="I13" i="2"/>
  <c r="I328" i="5"/>
  <c r="N12" i="2"/>
  <c r="I321" i="5"/>
  <c r="J11" i="2"/>
  <c r="I303" i="5"/>
  <c r="K11" i="2"/>
  <c r="I395" i="5"/>
  <c r="R14" i="2"/>
  <c r="I340" i="5"/>
  <c r="L13" i="2"/>
  <c r="I330" i="5"/>
  <c r="O12" i="2"/>
  <c r="I296" i="5"/>
  <c r="H10" i="2" s="1"/>
  <c r="E10" i="2"/>
  <c r="F243" i="5"/>
  <c r="G243" i="5" s="1"/>
  <c r="I227" i="5"/>
  <c r="K7" i="2"/>
  <c r="F205" i="5"/>
  <c r="G205" i="5" s="1"/>
  <c r="I189" i="5"/>
  <c r="K5" i="2"/>
  <c r="I280" i="5"/>
  <c r="H9" i="2" s="1"/>
  <c r="E9" i="2"/>
  <c r="I245" i="5"/>
  <c r="J7" i="2"/>
  <c r="I228" i="5"/>
  <c r="L7" i="2"/>
  <c r="I207" i="5"/>
  <c r="J5" i="2"/>
  <c r="I190" i="5"/>
  <c r="L5" i="2"/>
  <c r="I577" i="5"/>
  <c r="N25" i="2"/>
  <c r="F221" i="5"/>
  <c r="G221" i="5" s="1"/>
  <c r="F183" i="5"/>
  <c r="G183" i="5" s="1"/>
  <c r="I8" i="2"/>
  <c r="H260" i="5"/>
  <c r="I260" i="5" s="1"/>
  <c r="H258" i="5"/>
  <c r="I258" i="5" s="1"/>
  <c r="H8" i="2" s="1"/>
  <c r="H256" i="5"/>
  <c r="I256" i="5" s="1"/>
  <c r="H253" i="5"/>
  <c r="I253" i="5" s="1"/>
  <c r="H261" i="5"/>
  <c r="I261" i="5" s="1"/>
  <c r="H259" i="5"/>
  <c r="H257" i="5"/>
  <c r="I257" i="5" s="1"/>
  <c r="H246" i="5"/>
  <c r="I246" i="5" s="1"/>
  <c r="H249" i="5"/>
  <c r="I249" i="5" s="1"/>
  <c r="H250" i="5"/>
  <c r="I250" i="5" s="1"/>
  <c r="H251" i="5"/>
  <c r="I251" i="5" s="1"/>
  <c r="H252" i="5"/>
  <c r="I252" i="5" s="1"/>
  <c r="C8" i="2"/>
  <c r="I222" i="5"/>
  <c r="I6" i="2"/>
  <c r="I184" i="5"/>
  <c r="I4" i="2"/>
  <c r="I168" i="5"/>
  <c r="R3" i="2"/>
  <c r="I38" i="5"/>
  <c r="X31" i="2" s="1"/>
  <c r="W31" i="2"/>
  <c r="I2" i="5"/>
  <c r="X28" i="2" s="1"/>
  <c r="W28" i="2"/>
  <c r="I120" i="5"/>
  <c r="I72" i="5"/>
  <c r="I37" i="5"/>
  <c r="I221" i="5" l="1"/>
  <c r="F6" i="2"/>
  <c r="I297" i="5"/>
  <c r="F10" i="2"/>
  <c r="I418" i="5"/>
  <c r="F16" i="2"/>
  <c r="I516" i="5"/>
  <c r="F21" i="2"/>
  <c r="I554" i="5"/>
  <c r="F23" i="2"/>
  <c r="I243" i="5"/>
  <c r="F7" i="2"/>
  <c r="I568" i="5"/>
  <c r="F24" i="2"/>
  <c r="I183" i="5"/>
  <c r="F4" i="2"/>
  <c r="I205" i="5"/>
  <c r="F5" i="2"/>
  <c r="I353" i="5"/>
  <c r="F13" i="2"/>
  <c r="I478" i="5"/>
  <c r="F19" i="2"/>
  <c r="I532" i="5"/>
  <c r="F22" i="2"/>
  <c r="I588" i="5"/>
  <c r="F25" i="2"/>
  <c r="I259" i="5"/>
  <c r="F8" i="2"/>
  <c r="I440" i="5"/>
  <c r="F17" i="2"/>
  <c r="I456" i="5"/>
  <c r="F18" i="2"/>
  <c r="I494" i="5"/>
  <c r="F20" i="2"/>
  <c r="I281" i="5"/>
  <c r="F9" i="2"/>
  <c r="I333" i="5"/>
  <c r="F12" i="2"/>
  <c r="I319" i="5"/>
  <c r="F11" i="2"/>
</calcChain>
</file>

<file path=xl/sharedStrings.xml><?xml version="1.0" encoding="utf-8"?>
<sst xmlns="http://schemas.openxmlformats.org/spreadsheetml/2006/main" count="11213" uniqueCount="899">
  <si>
    <t>ABA 1: ARGENTINA (Série Histórica)</t>
  </si>
  <si>
    <t>Ano</t>
  </si>
  <si>
    <t>Gasto Público (% PIB)</t>
  </si>
  <si>
    <t>Déficit Fiscal (% PIB)</t>
  </si>
  <si>
    <t>Inflação (%)</t>
  </si>
  <si>
    <t>PIB Real (var. %)</t>
  </si>
  <si>
    <t>Dívida Públ. (% PIB)</t>
  </si>
  <si>
    <t>Governo</t>
  </si>
  <si>
    <t>CFK</t>
  </si>
  <si>
    <t>CFK/Macri</t>
  </si>
  <si>
    <t>Macri</t>
  </si>
  <si>
    <t>Macri/AF</t>
  </si>
  <si>
    <t>A.Fernández</t>
  </si>
  <si>
    <t>AF/Milei</t>
  </si>
  <si>
    <t>ABA 2: FORTALEZA (Dados e Fórmulas)</t>
  </si>
  <si>
    <t>Rec. Nominal (bi)</t>
  </si>
  <si>
    <t>Deflator IPCA</t>
  </si>
  <si>
    <t>Rec. Real (2023)</t>
  </si>
  <si>
    <t>Fórmula Rec. Real</t>
  </si>
  <si>
    <t>Desp. Pessoal (mi)</t>
  </si>
  <si>
    <t>RCL (bi)</t>
  </si>
  <si>
    <t>% Desp. Pessoal</t>
  </si>
  <si>
    <t>Fórmula LRF</t>
  </si>
  <si>
    <t>Status LRF</t>
  </si>
  <si>
    <t>3.82</t>
  </si>
  <si>
    <t>7.08</t>
  </si>
  <si>
    <t>46.1%</t>
  </si>
  <si>
    <t>Normal</t>
  </si>
  <si>
    <t>4.05</t>
  </si>
  <si>
    <t>7.00</t>
  </si>
  <si>
    <t>48.0%</t>
  </si>
  <si>
    <t>4.28</t>
  </si>
  <si>
    <t>6.93</t>
  </si>
  <si>
    <t>47.1%</t>
  </si>
  <si>
    <t>4.70</t>
  </si>
  <si>
    <t>7.28</t>
  </si>
  <si>
    <t>5.10</t>
  </si>
  <si>
    <t>7.55</t>
  </si>
  <si>
    <t>47.9%</t>
  </si>
  <si>
    <t>5.55</t>
  </si>
  <si>
    <t>7.82</t>
  </si>
  <si>
    <t>48.9%</t>
  </si>
  <si>
    <t>5.73</t>
  </si>
  <si>
    <t>7.83</t>
  </si>
  <si>
    <t>51.9%</t>
  </si>
  <si>
    <t>Alerta</t>
  </si>
  <si>
    <t>6.90</t>
  </si>
  <si>
    <t>8.73</t>
  </si>
  <si>
    <t>50.1%</t>
  </si>
  <si>
    <t>8.20</t>
  </si>
  <si>
    <t>9.21</t>
  </si>
  <si>
    <t>51.0%</t>
  </si>
  <si>
    <t>9.50</t>
  </si>
  <si>
    <t>53.0%</t>
  </si>
  <si>
    <t>Prudencial</t>
  </si>
  <si>
    <t>ABA 3: JUAZEIRO DO NORTE (Dados e Fórmulas)</t>
  </si>
  <si>
    <t>Rec. Nominal (mi)</t>
  </si>
  <si>
    <t>RCL (mi)</t>
  </si>
  <si>
    <t>648.6</t>
  </si>
  <si>
    <t>639.7</t>
  </si>
  <si>
    <t>631.8</t>
  </si>
  <si>
    <t>666.1</t>
  </si>
  <si>
    <t>710.9</t>
  </si>
  <si>
    <t>732.7</t>
  </si>
  <si>
    <t>772.4</t>
  </si>
  <si>
    <t>886.2</t>
  </si>
  <si>
    <t>1033.2</t>
  </si>
  <si>
    <t>1060.0</t>
  </si>
  <si>
    <t>ABA 4: REGRESSÃO E LAFFER</t>
  </si>
  <si>
    <t>Indicador</t>
  </si>
  <si>
    <t>Valor</t>
  </si>
  <si>
    <t>Fórmula/Metodologia</t>
  </si>
  <si>
    <t>Elasticidade-Receita (beta1)</t>
  </si>
  <si>
    <t>ln(Receita_Real) = beta0 + beta1 * ln(PIB_Real)</t>
  </si>
  <si>
    <t>R-Quadrado (R2)</t>
  </si>
  <si>
    <t>Medida de aderência do modelo</t>
  </si>
  <si>
    <t>Intercepto (beta0)</t>
  </si>
  <si>
    <t>-0.82</t>
  </si>
  <si>
    <t>Valor constante da regressão</t>
  </si>
  <si>
    <t>Carga Tributária Ótima (Laffer)</t>
  </si>
  <si>
    <t>1.94% - 1.99%</t>
  </si>
  <si>
    <t>Derivada da Função Quadrática: Rec = a + bT + cT^2</t>
  </si>
  <si>
    <t>Status da Arrecadação</t>
  </si>
  <si>
    <t>Pró-cíclica</t>
  </si>
  <si>
    <t>Elasticidade próxima ou superior a 1</t>
  </si>
  <si>
    <t>Entidade</t>
  </si>
  <si>
    <t>População (pessoas)</t>
  </si>
  <si>
    <t>Receita total bruta nominal (R$)</t>
  </si>
  <si>
    <t>Receita total bruta real (R$ 2025)</t>
  </si>
  <si>
    <t>Receita líquida estimada (R$ 2025)</t>
  </si>
  <si>
    <t>Receita tributária própria real (R$ 2025)</t>
  </si>
  <si>
    <t>Receita total bruta real per capita (R$ 2025/pessoa)</t>
  </si>
  <si>
    <t>Transferências da União real (R$ 2025)</t>
  </si>
  <si>
    <t>Transferências dos Estados real (R$ 2025)</t>
  </si>
  <si>
    <t>Despesa empenhada real (R$ 2025)</t>
  </si>
  <si>
    <t>Despesa liquidada real (R$ 2025)</t>
  </si>
  <si>
    <t>Despesa paga real (R$ 2025)</t>
  </si>
  <si>
    <t>DTP real (R$ 2025)</t>
  </si>
  <si>
    <t>RCL legal real (R$ 2025)</t>
  </si>
  <si>
    <t>DTP/RCL reportado (%)</t>
  </si>
  <si>
    <t>PIB municipal nominal (R$)</t>
  </si>
  <si>
    <t>PIB municipal real (R$ 2025)</t>
  </si>
  <si>
    <t>PIB per capita publicado real (R$ 2025)</t>
  </si>
  <si>
    <t>IDEB municipal anos iniciais</t>
  </si>
  <si>
    <t>IDEB municipal anos finais</t>
  </si>
  <si>
    <t>ARCA total nominal normalizada (ARS)</t>
  </si>
  <si>
    <t>ARCA total real (ARS 2025)</t>
  </si>
  <si>
    <t>ARCA arrecadação real per capita (ARS 2025/pessoa)</t>
  </si>
  <si>
    <t>RON amount (unidade/escala não declaradas)</t>
  </si>
  <si>
    <t>Despesa governo geral (% PIB, FPP)</t>
  </si>
  <si>
    <t>Saldo governo geral (% PIB, FMI FM)</t>
  </si>
  <si>
    <t>Dívida bruta governo geral (% PIB)</t>
  </si>
  <si>
    <t>Crescimento real PIB Argentina (%)</t>
  </si>
  <si>
    <t>PIB nominal Argentina (US$ bilhões correntes)</t>
  </si>
  <si>
    <t>Inflação média anual CPI (%)</t>
  </si>
  <si>
    <t>Resultado primário SPN 2025 (ARS milhões)</t>
  </si>
  <si>
    <t>Resultado financeiro SPN 2025 (ARS milhões)</t>
  </si>
  <si>
    <t>Fortaleza/CE</t>
  </si>
  <si>
    <t>Juazeiro do Norte/CE</t>
  </si>
  <si>
    <t>Argentina</t>
  </si>
  <si>
    <t>Período/competência</t>
  </si>
  <si>
    <t>Variável</t>
  </si>
  <si>
    <t>Valor na fonte</t>
  </si>
  <si>
    <t>Unidade publicada</t>
  </si>
  <si>
    <t>Fator para unidade padrão</t>
  </si>
  <si>
    <t>Campo/linha de origem</t>
  </si>
  <si>
    <t>Código/variável-fonte</t>
  </si>
  <si>
    <t>Status de observação</t>
  </si>
  <si>
    <t>Observação/metadado</t>
  </si>
  <si>
    <t>URL da fonte</t>
  </si>
  <si>
    <t>2016</t>
  </si>
  <si>
    <t>Arrecadação federal total ARCA (TOTAL GENERAL)</t>
  </si>
  <si>
    <t>mil pesos argentinos (ARS)</t>
  </si>
  <si>
    <t xml:space="preserve">linha 8; coluna TOTAL; cabeçalho: Miles de pesos </t>
  </si>
  <si>
    <t>Serie anual 2016</t>
  </si>
  <si>
    <t>Publicado</t>
  </si>
  <si>
    <t>Total de tributos, recursos da seguridade social e aduanas; não é receita total de todo o governo.</t>
  </si>
  <si>
    <t>https://contenidos.afip.gob.ar/institucional/estudios/archivos/serie2016.xls</t>
  </si>
  <si>
    <t>CPI inflation annual average (%)</t>
  </si>
  <si>
    <t>Annual percent change</t>
  </si>
  <si>
    <t>PCPIPCH</t>
  </si>
  <si>
    <t>World Economic Outlook (October 2026)</t>
  </si>
  <si>
    <t>Sem dado no endpoint/vintage; mantido ausente</t>
  </si>
  <si>
    <t>Indicador PCPIPCH; fonte IMF: World Economic Outlook (October 2026); metadado do endpoint preservado.</t>
  </si>
  <si>
    <t>https://www.imf.org/external/datamapper/api/v2/PCPIPCH/ARG?periods=2016,2017,2018,2019,2020,2021,2022,2023,2024,2025</t>
  </si>
  <si>
    <t>GDP nominal current (USD billion)</t>
  </si>
  <si>
    <t>Billions of U.S. dollars</t>
  </si>
  <si>
    <t>NGDPD</t>
  </si>
  <si>
    <t>WEO October 2026; latest history/vintage, subject to revision</t>
  </si>
  <si>
    <t>Indicador NGDPD; fonte IMF: World Economic Outlook (October 2026); metadado do endpoint preservado.</t>
  </si>
  <si>
    <t>https://www.imf.org/external/datamapper/api/v2/NGDPD/ARG?periods=2016,2017,2018,2019,2020,2021,2022,2023,2024,2025</t>
  </si>
  <si>
    <t>GDP real growth (%)</t>
  </si>
  <si>
    <t>NGDP_RPCH</t>
  </si>
  <si>
    <t>Indicador NGDP_RPCH; fonte IMF: World Economic Outlook (October 2026); metadado do endpoint preservado.</t>
  </si>
  <si>
    <t>https://www.imf.org/external/datamapper/api/v2/NGDP_RPCH/ARG?periods=2016,2017,2018,2019,2020,2021,2022,2023,2024,2025</t>
  </si>
  <si>
    <t>Government expenditure (% GDP, FPP)</t>
  </si>
  <si>
    <t>% of GDP</t>
  </si>
  <si>
    <t>exp</t>
  </si>
  <si>
    <t>Public Finances in Modern History Database (Dec 2025)</t>
  </si>
  <si>
    <t>FPP Dec 2025; 2025 not published in this series</t>
  </si>
  <si>
    <t>Indicador exp; fonte IMF: Public Finances in Modern History Database (Dec 2025); metadado do endpoint preservado.</t>
  </si>
  <si>
    <t>https://www.imf.org/external/datamapper/api/v2/exp/ARG?periods=2016,2017,2018,2019,2020,2021,2022,2023,2024,2025</t>
  </si>
  <si>
    <t>Gross debt (% GDP)</t>
  </si>
  <si>
    <t>Percent of GDP</t>
  </si>
  <si>
    <t>GGXWDG_NGDP</t>
  </si>
  <si>
    <t>Indicador GGXWDG_NGDP; fonte IMF: World Economic Outlook (October 2026); metadado do endpoint preservado.</t>
  </si>
  <si>
    <t>https://www.imf.org/external/datamapper/api/v2/GGXWDG_NGDP/ARG?periods=2016,2017,2018,2019,2020,2021,2022,2023,2024,2025</t>
  </si>
  <si>
    <t>Juros líquidos intra-SPN, base caja (2025)</t>
  </si>
  <si>
    <t>millones de pesos argentinos (ARS)</t>
  </si>
  <si>
    <t>nota oficial; fechamento anual 2025</t>
  </si>
  <si>
    <t>Hacienda/SPN Base Caja</t>
  </si>
  <si>
    <t>Publicado somente para 2025; anos anteriores não preenchidos nesta observação de fonte</t>
  </si>
  <si>
    <t>Resultado primário e financeiro do SPN base caixa; perímetro distinto das contas de governo geral IMF.</t>
  </si>
  <si>
    <t>https://www.argentina.gob.ar/noticias/en-el-ano-2025-el-sector-publico-nacional-registro-un-superavit-financiero-de-1453819</t>
  </si>
  <si>
    <t>Net lending/borrowing (% GDP)</t>
  </si>
  <si>
    <t>GGXCNL_G01_GDP_PT</t>
  </si>
  <si>
    <t>Fiscal Monitor (October 2026)</t>
  </si>
  <si>
    <t>Indicador GGXCNL_G01_GDP_PT; fonte IMF: Fiscal Monitor (October 2026); metadado do endpoint preservado.</t>
  </si>
  <si>
    <t>https://www.imf.org/external/datamapper/api/v2/GGXCNL_G01_GDP_PT/ARG?periods=2016,2017,2018,2019,2020,2021,2022,2023,2024,2025</t>
  </si>
  <si>
    <t>Population (IMF WEO)</t>
  </si>
  <si>
    <t>millions of persons</t>
  </si>
  <si>
    <t>LP</t>
  </si>
  <si>
    <t>Indicador LP; fonte IMF: World Economic Outlook (October 2026); metadado do endpoint preservado.</t>
  </si>
  <si>
    <t>https://www.imf.org/external/datamapper/api/v2/LP/ARG?periods=2016,2017,2018,2019,2020,2021,2022,2023,2024,2025</t>
  </si>
  <si>
    <t>RON transferências a províncias/CABA (monto publicado)</t>
  </si>
  <si>
    <t>monto conforme CSV; unidade/escala não declarada</t>
  </si>
  <si>
    <t>soma de monto por ano (27 jurisdições), agregando imposto e regime</t>
  </si>
  <si>
    <t>ano/provincia/impuesto/regimen/monto</t>
  </si>
  <si>
    <t>Publicado em unidade reportada; não convertida</t>
  </si>
  <si>
    <t>RON inclui coparticipação e outros regimes distribuídos; o arquivo não declara unidade monetária. Valores nominais não foram deflacionados nem usados em comparações de nível.</t>
  </si>
  <si>
    <t>https://www.argentina.gob.ar/sites/default/files/serie_ron_2003_2025.csv</t>
  </si>
  <si>
    <t>Resultado financeiro SPN, base caja (2025)</t>
  </si>
  <si>
    <t>Resultado primário SPN, base caja (2025)</t>
  </si>
  <si>
    <t>2017</t>
  </si>
  <si>
    <t>Serie anual 2017</t>
  </si>
  <si>
    <t>https://contenidos.afip.gob.ar/institucional/estudios/archivos/serie2017.xls</t>
  </si>
  <si>
    <t>2018</t>
  </si>
  <si>
    <t>Serie anual 2018</t>
  </si>
  <si>
    <t>https://contenidos.afip.gob.ar/institucional/estudios/archivos/serie2018.xls</t>
  </si>
  <si>
    <t>2019</t>
  </si>
  <si>
    <t>Serie anual 2019</t>
  </si>
  <si>
    <t>https://contenidos.afip.gob.ar/institucional/estudios/archivos/serie2019.xls</t>
  </si>
  <si>
    <t>2020</t>
  </si>
  <si>
    <t>Serie anual 2020</t>
  </si>
  <si>
    <t>https://contenidos.afip.gob.ar/institucional/estudios/archivos/serie2020.xls</t>
  </si>
  <si>
    <t>2021</t>
  </si>
  <si>
    <t xml:space="preserve">linha 8; coluna TOTAL; cabeçalho: Millones de pesos </t>
  </si>
  <si>
    <t>Serie anual 2021</t>
  </si>
  <si>
    <t>https://contenidos.afip.gob.ar/institucional/estudios/archivos/serie2021.xls</t>
  </si>
  <si>
    <t>2022</t>
  </si>
  <si>
    <t>Serie anual 2022</t>
  </si>
  <si>
    <t>https://contenidos.afip.gob.ar/institucional/estudios/archivos/serie2022.xls</t>
  </si>
  <si>
    <t>2023</t>
  </si>
  <si>
    <t>Serie anual 2023</t>
  </si>
  <si>
    <t>https://contenidos.afip.gob.ar/institucional/estudios/archivos/serie2023.xls</t>
  </si>
  <si>
    <t>2024</t>
  </si>
  <si>
    <t>Serie anual 2024</t>
  </si>
  <si>
    <t>https://contenidos.afip.gob.ar/institucional/estudios/archivos/serie2024.xls</t>
  </si>
  <si>
    <t>2025</t>
  </si>
  <si>
    <t>Serie anual 2025</t>
  </si>
  <si>
    <t>https://contenidos.afip.gob.ar/institucional/estudios/archivos/serie2025.xls</t>
  </si>
  <si>
    <t>soma de monto por ano (28 jurisdições), agregando imposto e regime</t>
  </si>
  <si>
    <t>Brasil</t>
  </si>
  <si>
    <t>201401</t>
  </si>
  <si>
    <t>IPCA número-índice mensal</t>
  </si>
  <si>
    <t>índice (dez/1993=100)</t>
  </si>
  <si>
    <t>IPCA - Número-índice (base: dezembro de 1993 = 100)</t>
  </si>
  <si>
    <t>Tabela SIDRA 1737, variável 2266</t>
  </si>
  <si>
    <t>Índice nacional mensal usado para deflação de fluxos e PIB municipal.</t>
  </si>
  <si>
    <t>https://servicodados.ibge.gov.br/api/v3/agregados/1737/metadados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</si>
  <si>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</si>
  <si>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</si>
  <si>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</si>
  <si>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</si>
  <si>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</si>
  <si>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</si>
  <si>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</si>
  <si>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</si>
  <si>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</si>
  <si>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</si>
  <si>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</si>
  <si>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</si>
  <si>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</si>
  <si>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</si>
  <si>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</si>
  <si>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</si>
  <si>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</si>
  <si>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</si>
  <si>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</si>
  <si>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</si>
  <si>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</si>
  <si>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</si>
  <si>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</si>
  <si>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</si>
  <si>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</si>
  <si>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</si>
  <si>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</si>
  <si>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</si>
  <si>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</si>
  <si>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</si>
  <si>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</si>
  <si>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</si>
  <si>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</si>
  <si>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</si>
  <si>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</si>
  <si>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</si>
  <si>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</si>
  <si>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</si>
  <si>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</si>
  <si>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</si>
  <si>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</si>
  <si>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</si>
  <si>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</si>
  <si>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</si>
  <si>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</si>
  <si>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</si>
  <si>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</si>
  <si>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</si>
  <si>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</si>
  <si>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</si>
  <si>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</si>
  <si>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</si>
  <si>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</si>
  <si>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</si>
  <si>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</si>
  <si>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</si>
  <si>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</si>
  <si>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</si>
  <si>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</si>
  <si>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</si>
  <si>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</si>
  <si>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</si>
  <si>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</si>
  <si>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</si>
  <si>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</si>
  <si>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</si>
  <si>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</si>
  <si>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</si>
  <si>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</si>
  <si>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</si>
  <si>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</si>
  <si>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</si>
  <si>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</si>
  <si>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</si>
  <si>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</si>
  <si>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</si>
  <si>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</si>
  <si>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</si>
  <si>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</si>
  <si>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</si>
  <si>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</si>
  <si>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</si>
  <si>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</si>
  <si>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</si>
  <si>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</si>
  <si>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</si>
  <si>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</si>
  <si>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</si>
  <si>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</si>
  <si>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</si>
  <si>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</si>
  <si>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</si>
  <si>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</si>
  <si>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</si>
  <si>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</si>
  <si>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</si>
  <si>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</si>
  <si>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</si>
  <si>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</si>
  <si>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</si>
  <si>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</si>
  <si>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</si>
  <si>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</si>
  <si>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</si>
  <si>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</si>
  <si>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</si>
  <si>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</si>
  <si>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</si>
  <si>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</si>
  <si>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</si>
  <si>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</si>
  <si>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</si>
  <si>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</si>
  <si>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</si>
  <si>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</si>
  <si>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</si>
  <si>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</si>
  <si>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</si>
  <si>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</si>
  <si>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</si>
  <si>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</si>
  <si>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</si>
  <si>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</si>
  <si>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</si>
  <si>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</si>
  <si>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</si>
  <si>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</si>
  <si>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</si>
  <si>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</si>
  <si>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</si>
  <si>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</si>
  <si>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</si>
  <si>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</si>
  <si>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</si>
  <si>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</si>
  <si>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</si>
  <si>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</si>
  <si>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</si>
  <si>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</si>
  <si>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</si>
  <si>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</si>
  <si>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</si>
  <si>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</si>
  <si>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2005</t>
  </si>
  <si>
    <t>IDEB N (nota padronizada) anos finais</t>
  </si>
  <si>
    <t>nota padronizada N</t>
  </si>
  <si>
    <t>VL_NOTA_MEDIA_2005</t>
  </si>
  <si>
    <t>INEP divulgação 2025; rede Municipal</t>
  </si>
  <si>
    <t>Publicado; hífen convertido em ausente</t>
  </si>
  <si>
    <t>Série bienal; rede Municipal selecionada.</t>
  </si>
  <si>
    <t>https://download.inep.gov.br/ideb/resultados/divulgacao_anos_finais_municipios_2025.zip</t>
  </si>
  <si>
    <t>IDEB N (nota padronizada) anos iniciais</t>
  </si>
  <si>
    <t>https://download.inep.gov.br/ideb/resultados/divulgacao_anos_iniciais_municipios_2025.zip</t>
  </si>
  <si>
    <t>IDEB P (rendimento) anos finais</t>
  </si>
  <si>
    <t>índice P (0–1)</t>
  </si>
  <si>
    <t>VL_INDICADOR_REND_2005</t>
  </si>
  <si>
    <t>IDEB P (rendimento) anos iniciais</t>
  </si>
  <si>
    <t>2007</t>
  </si>
  <si>
    <t>VL_NOTA_MEDIA_2007</t>
  </si>
  <si>
    <t>VL_INDICADOR_REND_2007</t>
  </si>
  <si>
    <t>2009</t>
  </si>
  <si>
    <t>VL_NOTA_MEDIA_2009</t>
  </si>
  <si>
    <t>VL_INDICADOR_REND_2009</t>
  </si>
  <si>
    <t>2010</t>
  </si>
  <si>
    <t>PIB municipal nominal (IBGE)</t>
  </si>
  <si>
    <t>R$ mil corrente</t>
  </si>
  <si>
    <t>Produto Interno Bruto, 
a preços correntes
(R$ 1.000)</t>
  </si>
  <si>
    <t>Produto Interno Bruto municipal</t>
  </si>
  <si>
    <t>Publicação 2010–2023; preços correntes; 2022–2023 sujeitos a revisão. Convertido a R$ por fator 1.000.</t>
  </si>
  <si>
    <t>https://ftp.ibge.gov.br/Pib_Municipios/2022_2023/base/base_de_dados_2010_2023_xlsx.zip</t>
  </si>
  <si>
    <t>PIB municipal per capita publicado (IBGE)</t>
  </si>
  <si>
    <t>R$/habitante corrente</t>
  </si>
  <si>
    <t>Produto Interno Bruto per capita, 
a preços correntes
(R$ 1,00)</t>
  </si>
  <si>
    <t>Produto Interno Bruto per capita</t>
  </si>
  <si>
    <t>Valor oficial publicado; denominador populacional segue nota metodológica específica do IBGE.</t>
  </si>
  <si>
    <t>2011</t>
  </si>
  <si>
    <t>VL_NOTA_MEDIA_2011</t>
  </si>
  <si>
    <t>VL_INDICADOR_REND_2011</t>
  </si>
  <si>
    <t>2012</t>
  </si>
  <si>
    <t>2013</t>
  </si>
  <si>
    <t>VL_NOTA_MEDIA_2013</t>
  </si>
  <si>
    <t>VL_INDICADOR_REND_2013</t>
  </si>
  <si>
    <t>2014</t>
  </si>
  <si>
    <t>2015</t>
  </si>
  <si>
    <t>VL_NOTA_MEDIA_2015</t>
  </si>
  <si>
    <t>VL_INDICADOR_REND_2015</t>
  </si>
  <si>
    <t>Arrecadação tributária própria</t>
  </si>
  <si>
    <t>R$ corrente</t>
  </si>
  <si>
    <t>conta: 1.1.0.0.00.00.00 - Receita Tributária | coluna: Receitas Brutas Realizadas</t>
  </si>
  <si>
    <t>RO1.1.0.0.00.00.00</t>
  </si>
  <si>
    <t>Receita tributária de impostos/taxas/contribuições de melhoria; não representa toda receita própria não tributária.</t>
  </si>
  <si>
    <t>https://apidatalake.tesouro.gov.br/ords/cdwhprd/siconfi/tt/dca?an_exercicio=2016&amp;id_ente=2304400&amp;no_anexo=DCA-Anexo+I-C</t>
  </si>
  <si>
    <t>DTP sobre RCL ajustada (percentual reportado)</t>
  </si>
  <si>
    <t>% da RCL indicada no RGF</t>
  </si>
  <si>
    <t>conta: DESPESA TOTAL COM PESSOAL - DTP (V) = (III a + III b) | coluna: % sobre a RCL</t>
  </si>
  <si>
    <t>DespesaComPessoalTotal</t>
  </si>
  <si>
    <t>Valor percentual publicado pelo RGF; 2016 usa rótulo RCL sem ajuste.</t>
  </si>
  <si>
    <t>https://apidatalake.tesouro.gov.br/ords/cdwhprd/siconfi/tt/rgf?an_exercicio=2016&amp;in_periodicidade=Q&amp;nr_periodo=3&amp;co_tipo_demonstrativo=RGF&amp;no_anexo=RGF-Anexo+01&amp;co_poder=E&amp;id_ente=2304400</t>
  </si>
  <si>
    <t>Deduções da receita (DCA; soma de colunas identificadas)</t>
  </si>
  <si>
    <t>soma das colunas de TotalReceitas cujo nome inicia em “Deduções”</t>
  </si>
  <si>
    <t>TotalReceitas</t>
  </si>
  <si>
    <t>Derivado de campos DCA sem preenchimento de ausentes</t>
  </si>
  <si>
    <t>Somente as deduções devolvidas pela API foram somadas; valor em branco se nenhuma coluna publicada.</t>
  </si>
  <si>
    <t>Despesa empenhada</t>
  </si>
  <si>
    <t>conta: Total Geral da Despesa | coluna: Despesas Empenhadas</t>
  </si>
  <si>
    <t>TotalDespesas</t>
  </si>
  <si>
    <t>DCA-I-D; estágio de execução indicado no nome da coluna.</t>
  </si>
  <si>
    <t>https://apidatalake.tesouro.gov.br/ords/cdwhprd/siconfi/tt/dca?an_exercicio=2016&amp;id_ente=2304400&amp;no_anexo=DCA-Anexo+I-D</t>
  </si>
  <si>
    <t>Despesa liquidada</t>
  </si>
  <si>
    <t>conta: Total Geral da Despesa | coluna: Despesas Liquidadas</t>
  </si>
  <si>
    <t>Despesa paga</t>
  </si>
  <si>
    <t>conta: Total Geral da Despesa | coluna: Despesas Pagas</t>
  </si>
  <si>
    <t>Despesa total com pessoal (DTP)</t>
  </si>
  <si>
    <t>conta: DESPESA TOTAL COM PESSOAL - DTP (V) = (III a + III b) | coluna: Valor</t>
  </si>
  <si>
    <t>RGF-Anexo 01; valor anual acumulado informado pelo demonstrativo.</t>
  </si>
  <si>
    <t>População residente estimada</t>
  </si>
  <si>
    <t>pessoas</t>
  </si>
  <si>
    <t>SIDRA T6579 V9324 População residente estimada</t>
  </si>
  <si>
    <t>9324</t>
  </si>
  <si>
    <t>Estimativa anual IBGE; referência 1º de julho</t>
  </si>
  <si>
    <t>Série com quebra de base após Censo 2022.</t>
  </si>
  <si>
    <t>https://apisidra.ibge.gov.br/values/t/6579/p/2016-2025/v/9324/n6/2304400</t>
  </si>
  <si>
    <t>Receita corrente líquida (RCL legal)</t>
  </si>
  <si>
    <t>conta: RECEITA CORRENTE LIQUIDA - RCL (IV) | coluna: Valor</t>
  </si>
  <si>
    <t>ReceitaCorrenteLiquidaLimiteLegal</t>
  </si>
  <si>
    <t>RGF-Anexo 01; base legal publicada.</t>
  </si>
  <si>
    <t>Receita corrente líquida ajustada (RGF)</t>
  </si>
  <si>
    <t>linha não localizada na resposta anual</t>
  </si>
  <si>
    <t>Sem valor: conta/coluna não retornada; mantido ausente</t>
  </si>
  <si>
    <t>Usada para o limite de pessoal quando publicada; ausência preservada.</t>
  </si>
  <si>
    <t>Receita total bruta realizada</t>
  </si>
  <si>
    <t>conta: Total Receitas | coluna: Receitas Brutas Realizadas</t>
  </si>
  <si>
    <t>DCA-I-C; execução orçamentária realizada; bruta, antes de deduções.</t>
  </si>
  <si>
    <t>Transferências recebidas da União</t>
  </si>
  <si>
    <t>conta: 1.7.2.1.00.00.00 - Transferências da União | coluna: Receitas Brutas Realizadas</t>
  </si>
  <si>
    <t>RO1.7.2.1.00.00.00</t>
  </si>
  <si>
    <t>Classificação DCA mudou em 2018: 2016–2017 conta antiga RO1.7.2.1/RO1.7.2.2; 2018–2025 RO1.7.1.0/RO1.7.2.0. Seleção conferida também pela descrição da conta.</t>
  </si>
  <si>
    <t>Transferências recebidas dos Estados</t>
  </si>
  <si>
    <t>conta: 1.7.2.2.00.00.00 - Transferências dos Estados | coluna: Receitas Brutas Realizadas</t>
  </si>
  <si>
    <t>RO1.7.2.2.00.00.00</t>
  </si>
  <si>
    <t>https://apidatalake.tesouro.gov.br/ords/cdwhprd/siconfi/tt/dca?an_exercicio=2017&amp;id_ente=2304400&amp;no_anexo=DCA-Anexo+I-C</t>
  </si>
  <si>
    <t>conta: DESPESA TOTAL COM PESSOAL - DTP (VII) = (IIIa + IIIb) | coluna: % sobre a RCL Ajustada</t>
  </si>
  <si>
    <t>https://apidatalake.tesouro.gov.br/ords/cdwhprd/siconfi/tt/rgf?an_exercicio=2017&amp;in_periodicidade=Q&amp;nr_periodo=3&amp;co_tipo_demonstrativo=RGF&amp;no_anexo=RGF-Anexo+01&amp;co_poder=E&amp;id_ente=2304400</t>
  </si>
  <si>
    <t>https://apidatalake.tesouro.gov.br/ords/cdwhprd/siconfi/tt/dca?an_exercicio=2017&amp;id_ente=2304400&amp;no_anexo=DCA-Anexo+I-D</t>
  </si>
  <si>
    <t>conta: DESPESA TOTAL COM PESSOAL - DTP (VII) = (IIIa + IIIb) | coluna: Valor</t>
  </si>
  <si>
    <t>VL_NOTA_MEDIA_2017</t>
  </si>
  <si>
    <t>VL_INDICADOR_REND_2017</t>
  </si>
  <si>
    <t>conta: = RECEITA CORRENTE LÍQUIDA AJUSTADA (VI) | coluna: Valor</t>
  </si>
  <si>
    <t>ReceitaCorrenteLiquidaAjustada</t>
  </si>
  <si>
    <t>conta: 1.1.0.0.00.0.0 - Impostos, Taxas e Contribuições de Melhoria | coluna: Receitas Brutas Realizadas</t>
  </si>
  <si>
    <t>RO1.1.0.0.00.0.0</t>
  </si>
  <si>
    <t>https://apidatalake.tesouro.gov.br/ords/cdwhprd/siconfi/tt/dca?an_exercicio=2018&amp;id_ente=2304400&amp;no_anexo=DCA-Anexo+I-C</t>
  </si>
  <si>
    <t>https://apidatalake.tesouro.gov.br/ords/cdwhprd/siconfi/tt/rgf?an_exercicio=2018&amp;in_periodicidade=Q&amp;nr_periodo=3&amp;co_tipo_demonstrativo=RGF&amp;no_anexo=RGF-Anexo+01&amp;co_poder=E&amp;id_ente=2304400</t>
  </si>
  <si>
    <t>https://apidatalake.tesouro.gov.br/ords/cdwhprd/siconfi/tt/dca?an_exercicio=2018&amp;id_ente=2304400&amp;no_anexo=DCA-Anexo+I-D</t>
  </si>
  <si>
    <t>conta: 1.7.1.0.00.0.0 - Transferências da União e de suas Entidades | coluna: Receitas Brutas Realizadas</t>
  </si>
  <si>
    <t>RO1.7.1.0.00.0.0</t>
  </si>
  <si>
    <t>conta: 1.7.2.0.00.0.0 - Transferências dos Estados e do Distrito Federal e de suas Entidades | coluna: Receitas Brutas Realizadas</t>
  </si>
  <si>
    <t>RO1.7.2.0.00.0.0</t>
  </si>
  <si>
    <t>https://apidatalake.tesouro.gov.br/ords/cdwhprd/siconfi/tt/dca?an_exercicio=2019&amp;id_ente=2304400&amp;no_anexo=DCA-Anexo+I-C</t>
  </si>
  <si>
    <t>https://apidatalake.tesouro.gov.br/ords/cdwhprd/siconfi/tt/rgf?an_exercicio=2019&amp;in_periodicidade=Q&amp;nr_periodo=3&amp;co_tipo_demonstrativo=RGF&amp;no_anexo=RGF-Anexo+01&amp;co_poder=E&amp;id_ente=2304400</t>
  </si>
  <si>
    <t>https://apidatalake.tesouro.gov.br/ords/cdwhprd/siconfi/tt/dca?an_exercicio=2019&amp;id_ente=2304400&amp;no_anexo=DCA-Anexo+I-D</t>
  </si>
  <si>
    <t>VL_NOTA_MEDIA_2019</t>
  </si>
  <si>
    <t>VL_INDICADOR_REND_2019</t>
  </si>
  <si>
    <t>conta: TOTAL DAS RECEITAS (III) = (I + II) | coluna: Receitas Brutas Realizadas</t>
  </si>
  <si>
    <t>https://apidatalake.tesouro.gov.br/ords/cdwhprd/siconfi/tt/dca?an_exercicio=2020&amp;id_ente=2304400&amp;no_anexo=DCA-Anexo+I-C</t>
  </si>
  <si>
    <t>conta: DESPESA TOTAL COM PESSOAL - DTP (VIII) = (IIIa + IIIb) | coluna: % sobre a RCL Ajustada</t>
  </si>
  <si>
    <t>https://apidatalake.tesouro.gov.br/ords/cdwhprd/siconfi/tt/rgf?an_exercicio=2020&amp;in_periodicidade=Q&amp;nr_periodo=3&amp;co_tipo_demonstrativo=RGF&amp;no_anexo=RGF-Anexo+01&amp;co_poder=E&amp;id_ente=2304400</t>
  </si>
  <si>
    <t>https://apidatalake.tesouro.gov.br/ords/cdwhprd/siconfi/tt/dca?an_exercicio=2020&amp;id_ente=2304400&amp;no_anexo=DCA-Anexo+I-D</t>
  </si>
  <si>
    <t>conta: DESPESA TOTAL COM PESSOAL - DTP (VIII) = (IIIa + IIIb) | coluna: Valor</t>
  </si>
  <si>
    <t>conta: = RECEITA CORRENTE LÍQUIDA AJUSTADA PARA CÁLCULO DOS LIMITES DA DESPESA COM PESSOAL (VII) = (IV - V - VI) | coluna: Valor</t>
  </si>
  <si>
    <t>https://apidatalake.tesouro.gov.br/ords/cdwhprd/siconfi/tt/dca?an_exercicio=2021&amp;id_ente=2304400&amp;no_anexo=DCA-Anexo+I-C</t>
  </si>
  <si>
    <t>https://apidatalake.tesouro.gov.br/ords/cdwhprd/siconfi/tt/rgf?an_exercicio=2021&amp;in_periodicidade=Q&amp;nr_periodo=3&amp;co_tipo_demonstrativo=RGF&amp;no_anexo=RGF-Anexo+01&amp;co_poder=E&amp;id_ente=2304400</t>
  </si>
  <si>
    <t>https://apidatalake.tesouro.gov.br/ords/cdwhprd/siconfi/tt/dca?an_exercicio=2021&amp;id_ente=2304400&amp;no_anexo=DCA-Anexo+I-D</t>
  </si>
  <si>
    <t>VL_NOTA_MEDIA_2021</t>
  </si>
  <si>
    <t>VL_INDICADOR_REND_2021</t>
  </si>
  <si>
    <t>https://apidatalake.tesouro.gov.br/ords/cdwhprd/siconfi/tt/dca?an_exercicio=2022&amp;id_ente=2304400&amp;no_anexo=DCA-Anexo+I-C</t>
  </si>
  <si>
    <t>https://apidatalake.tesouro.gov.br/ords/cdwhprd/siconfi/tt/rgf?an_exercicio=2022&amp;in_periodicidade=Q&amp;nr_periodo=3&amp;co_tipo_demonstrativo=RGF&amp;no_anexo=RGF-Anexo+01&amp;co_poder=E&amp;id_ente=2304400</t>
  </si>
  <si>
    <t>https://apidatalake.tesouro.gov.br/ords/cdwhprd/siconfi/tt/dca?an_exercicio=2022&amp;id_ente=2304400&amp;no_anexo=DCA-Anexo+I-D</t>
  </si>
  <si>
    <t>População no último censo</t>
  </si>
  <si>
    <t>Censo Demográfico 2022</t>
  </si>
  <si>
    <t>Contagem censitária IBGE; não é estimativa anual</t>
  </si>
  <si>
    <t>Valor Cidades e Estados consultado em 22/10/2026; Censo 2022 atualizado.</t>
  </si>
  <si>
    <t>https://www.ibge.gov.br/cidades-e-estados/ce/fortaleza.html</t>
  </si>
  <si>
    <t>https://apidatalake.tesouro.gov.br/ords/cdwhprd/siconfi/tt/dca?an_exercicio=2023&amp;id_ente=2304400&amp;no_anexo=DCA-Anexo+I-C</t>
  </si>
  <si>
    <t>https://apidatalake.tesouro.gov.br/ords/cdwhprd/siconfi/tt/rgf?an_exercicio=2023&amp;in_periodicidade=Q&amp;nr_periodo=3&amp;co_tipo_demonstrativo=RGF&amp;no_anexo=RGF-Anexo+01&amp;co_poder=E&amp;id_ente=2304400</t>
  </si>
  <si>
    <t>https://apidatalake.tesouro.gov.br/ords/cdwhprd/siconfi/tt/dca?an_exercicio=2023&amp;id_ente=2304400&amp;no_anexo=DCA-Anexo+I-D</t>
  </si>
  <si>
    <t>VL_NOTA_MEDIA_2023</t>
  </si>
  <si>
    <t>VL_INDICADOR_REND_2023</t>
  </si>
  <si>
    <t>SIDRA T6579 V9324</t>
  </si>
  <si>
    <t>Sem valor na série selecionada; mantido ausente</t>
  </si>
  <si>
    <t>Não interpolado e não substituído por zero.</t>
  </si>
  <si>
    <t>https://apidatalake.tesouro.gov.br/ords/cdwhprd/siconfi/tt/dca?an_exercicio=2024&amp;id_ente=2304400&amp;no_anexo=DCA-Anexo+I-C</t>
  </si>
  <si>
    <t>conta: DESPESA TOTAL COM PESSOAL - DTP (VI) = (IIIa + IIIb) | coluna: % sobre a RCL Ajustada</t>
  </si>
  <si>
    <t>https://apidatalake.tesouro.gov.br/ords/cdwhprd/siconfi/tt/rgf?an_exercicio=2024&amp;in_periodicidade=Q&amp;nr_periodo=3&amp;co_tipo_demonstrativo=RGF&amp;no_anexo=RGF-Anexo+01&amp;co_poder=E&amp;id_ente=2304400</t>
  </si>
  <si>
    <t>https://apidatalake.tesouro.gov.br/ords/cdwhprd/siconfi/tt/dca?an_exercicio=2024&amp;id_ente=2304400&amp;no_anexo=DCA-Anexo+I-D</t>
  </si>
  <si>
    <t>conta: DESPESA TOTAL COM PESSOAL - DTP (VI) = (IIIa + IIIb) | coluna: Valor</t>
  </si>
  <si>
    <t>conta: = RECEITA CORRENTE LÍQUIDA AJUSTADA PARA CÁLCULO DOS LIMITES DA DESPESA COM PESSOAL (V) | coluna: Valor</t>
  </si>
  <si>
    <t>https://apidatalake.tesouro.gov.br/ords/cdwhprd/siconfi/tt/dca?an_exercicio=2025&amp;id_ente=2304400&amp;no_anexo=DCA-Anexo+I-C</t>
  </si>
  <si>
    <t>https://apidatalake.tesouro.gov.br/ords/cdwhprd/siconfi/tt/rgf?an_exercicio=2025&amp;in_periodicidade=Q&amp;nr_periodo=3&amp;co_tipo_demonstrativo=RGF&amp;no_anexo=RGF-Anexo+01&amp;co_poder=E&amp;id_ente=2304400</t>
  </si>
  <si>
    <t>https://apidatalake.tesouro.gov.br/ords/cdwhprd/siconfi/tt/dca?an_exercicio=2025&amp;id_ente=2304400&amp;no_anexo=DCA-Anexo+I-D</t>
  </si>
  <si>
    <t>VL_NOTA_MEDIA_2025</t>
  </si>
  <si>
    <t>VL_INDICADOR_REND_2025</t>
  </si>
  <si>
    <t>2026</t>
  </si>
  <si>
    <t>População estimada 2026</t>
  </si>
  <si>
    <t>Estimativas da população, referência 1º de julho</t>
  </si>
  <si>
    <t>Estimativa IBGE 2026; não é execução fiscal nem ano encerrado</t>
  </si>
  <si>
    <t>Página exibe 2026, mas a nota de fonte da página cita estimativa com referência a 2024; valor mantido como publicado e ressalvado.</t>
  </si>
  <si>
    <t>https://apidatalake.tesouro.gov.br/ords/cdwhprd/siconfi/tt/dca?an_exercicio=2016&amp;id_ente=2307304&amp;no_anexo=DCA-Anexo+I-C</t>
  </si>
  <si>
    <t>https://apidatalake.tesouro.gov.br/ords/cdwhprd/siconfi/tt/rgf?an_exercicio=2016&amp;in_periodicidade=Q&amp;nr_periodo=3&amp;co_tipo_demonstrativo=RGF&amp;no_anexo=RGF-Anexo+01&amp;co_poder=E&amp;id_ente=2307304</t>
  </si>
  <si>
    <t>https://apidatalake.tesouro.gov.br/ords/cdwhprd/siconfi/tt/dca?an_exercicio=2016&amp;id_ente=2307304&amp;no_anexo=DCA-Anexo+I-D</t>
  </si>
  <si>
    <t>https://apisidra.ibge.gov.br/values/t/6579/p/2016-2025/v/9324/n6/2307304</t>
  </si>
  <si>
    <t>https://apidatalake.tesouro.gov.br/ords/cdwhprd/siconfi/tt/dca?an_exercicio=2017&amp;id_ente=2307304&amp;no_anexo=DCA-Anexo+I-C</t>
  </si>
  <si>
    <t>https://apidatalake.tesouro.gov.br/ords/cdwhprd/siconfi/tt/rgf?an_exercicio=2017&amp;in_periodicidade=Q&amp;nr_periodo=3&amp;co_tipo_demonstrativo=RGF&amp;no_anexo=RGF-Anexo+01&amp;co_poder=E&amp;id_ente=2307304</t>
  </si>
  <si>
    <t>https://apidatalake.tesouro.gov.br/ords/cdwhprd/siconfi/tt/dca?an_exercicio=2017&amp;id_ente=2307304&amp;no_anexo=DCA-Anexo+I-D</t>
  </si>
  <si>
    <t>https://apidatalake.tesouro.gov.br/ords/cdwhprd/siconfi/tt/dca?an_exercicio=2018&amp;id_ente=2307304&amp;no_anexo=DCA-Anexo+I-C</t>
  </si>
  <si>
    <t>https://apidatalake.tesouro.gov.br/ords/cdwhprd/siconfi/tt/rgf?an_exercicio=2018&amp;in_periodicidade=Q&amp;nr_periodo=3&amp;co_tipo_demonstrativo=RGF&amp;no_anexo=RGF-Anexo+01&amp;co_poder=E&amp;id_ente=2307304</t>
  </si>
  <si>
    <t>https://apidatalake.tesouro.gov.br/ords/cdwhprd/siconfi/tt/dca?an_exercicio=2018&amp;id_ente=2307304&amp;no_anexo=DCA-Anexo+I-D</t>
  </si>
  <si>
    <t>https://apidatalake.tesouro.gov.br/ords/cdwhprd/siconfi/tt/dca?an_exercicio=2019&amp;id_ente=2307304&amp;no_anexo=DCA-Anexo+I-C</t>
  </si>
  <si>
    <t>https://apidatalake.tesouro.gov.br/ords/cdwhprd/siconfi/tt/rgf?an_exercicio=2019&amp;in_periodicidade=Q&amp;nr_periodo=3&amp;co_tipo_demonstrativo=RGF&amp;no_anexo=RGF-Anexo+01&amp;co_poder=E&amp;id_ente=2307304</t>
  </si>
  <si>
    <t>https://apidatalake.tesouro.gov.br/ords/cdwhprd/siconfi/tt/dca?an_exercicio=2019&amp;id_ente=2307304&amp;no_anexo=DCA-Anexo+I-D</t>
  </si>
  <si>
    <t>https://apidatalake.tesouro.gov.br/ords/cdwhprd/siconfi/tt/dca?an_exercicio=2020&amp;id_ente=2307304&amp;no_anexo=DCA-Anexo+I-C</t>
  </si>
  <si>
    <t>https://apidatalake.tesouro.gov.br/ords/cdwhprd/siconfi/tt/rgf?an_exercicio=2020&amp;in_periodicidade=Q&amp;nr_periodo=3&amp;co_tipo_demonstrativo=RGF&amp;no_anexo=RGF-Anexo+01&amp;co_poder=E&amp;id_ente=2307304</t>
  </si>
  <si>
    <t>https://apidatalake.tesouro.gov.br/ords/cdwhprd/siconfi/tt/dca?an_exercicio=2020&amp;id_ente=2307304&amp;no_anexo=DCA-Anexo+I-D</t>
  </si>
  <si>
    <t>https://apidatalake.tesouro.gov.br/ords/cdwhprd/siconfi/tt/dca?an_exercicio=2021&amp;id_ente=2307304&amp;no_anexo=DCA-Anexo+I-C</t>
  </si>
  <si>
    <t>https://apidatalake.tesouro.gov.br/ords/cdwhprd/siconfi/tt/rgf?an_exercicio=2021&amp;in_periodicidade=Q&amp;nr_periodo=3&amp;co_tipo_demonstrativo=RGF&amp;no_anexo=RGF-Anexo+01&amp;co_poder=E&amp;id_ente=2307304</t>
  </si>
  <si>
    <t>https://apidatalake.tesouro.gov.br/ords/cdwhprd/siconfi/tt/dca?an_exercicio=2021&amp;id_ente=2307304&amp;no_anexo=DCA-Anexo+I-D</t>
  </si>
  <si>
    <t>https://apidatalake.tesouro.gov.br/ords/cdwhprd/siconfi/tt/dca?an_exercicio=2022&amp;id_ente=2307304&amp;no_anexo=DCA-Anexo+I-C</t>
  </si>
  <si>
    <t>https://apidatalake.tesouro.gov.br/ords/cdwhprd/siconfi/tt/rgf?an_exercicio=2022&amp;in_periodicidade=Q&amp;nr_periodo=3&amp;co_tipo_demonstrativo=RGF&amp;no_anexo=RGF-Anexo+01&amp;co_poder=E&amp;id_ente=2307304</t>
  </si>
  <si>
    <t>https://apidatalake.tesouro.gov.br/ords/cdwhprd/siconfi/tt/dca?an_exercicio=2022&amp;id_ente=2307304&amp;no_anexo=DCA-Anexo+I-D</t>
  </si>
  <si>
    <t>https://www.ibge.gov.br/cidades-e-estados/ce/juazeiro-do-norte.html</t>
  </si>
  <si>
    <t>https://apidatalake.tesouro.gov.br/ords/cdwhprd/siconfi/tt/dca?an_exercicio=2023&amp;id_ente=2307304&amp;no_anexo=DCA-Anexo+I-C</t>
  </si>
  <si>
    <t>https://apidatalake.tesouro.gov.br/ords/cdwhprd/siconfi/tt/rgf?an_exercicio=2023&amp;in_periodicidade=Q&amp;nr_periodo=3&amp;co_tipo_demonstrativo=RGF&amp;no_anexo=RGF-Anexo+01&amp;co_poder=E&amp;id_ente=2307304</t>
  </si>
  <si>
    <t>https://apidatalake.tesouro.gov.br/ords/cdwhprd/siconfi/tt/dca?an_exercicio=2023&amp;id_ente=2307304&amp;no_anexo=DCA-Anexo+I-D</t>
  </si>
  <si>
    <t>https://apidatalake.tesouro.gov.br/ords/cdwhprd/siconfi/tt/dca?an_exercicio=2024&amp;id_ente=2307304&amp;no_anexo=DCA-Anexo+I-C</t>
  </si>
  <si>
    <t>https://apidatalake.tesouro.gov.br/ords/cdwhprd/siconfi/tt/rgf?an_exercicio=2024&amp;in_periodicidade=Q&amp;nr_periodo=3&amp;co_tipo_demonstrativo=RGF&amp;no_anexo=RGF-Anexo+01&amp;co_poder=E&amp;id_ente=2307304</t>
  </si>
  <si>
    <t>https://apidatalake.tesouro.gov.br/ords/cdwhprd/siconfi/tt/dca?an_exercicio=2024&amp;id_ente=2307304&amp;no_anexo=DCA-Anexo+I-D</t>
  </si>
  <si>
    <t>https://apidatalake.tesouro.gov.br/ords/cdwhprd/siconfi/tt/dca?an_exercicio=2025&amp;id_ente=2307304&amp;no_anexo=DCA-Anexo+I-C</t>
  </si>
  <si>
    <t>https://apidatalake.tesouro.gov.br/ords/cdwhprd/siconfi/tt/rgf?an_exercicio=2025&amp;in_periodicidade=Q&amp;nr_periodo=3&amp;co_tipo_demonstrativo=RGF&amp;no_anexo=RGF-Anexo+01&amp;co_poder=E&amp;id_ente=2307304</t>
  </si>
  <si>
    <t>https://apidatalake.tesouro.gov.br/ords/cdwhprd/siconfi/tt/dca?an_exercicio=2025&amp;id_ente=2307304&amp;no_anexo=DCA-Anexo+I-D</t>
  </si>
  <si>
    <t>País/território</t>
  </si>
  <si>
    <t>Índice de preços usado</t>
  </si>
  <si>
    <t>Inflação média anual (%)</t>
  </si>
  <si>
    <t>Fator para preços 2025</t>
  </si>
  <si>
    <t>Ano-base</t>
  </si>
  <si>
    <t>Fonte e regra</t>
  </si>
  <si>
    <t>Média dos 12 números-índice mensais do IPCA; base 2025.</t>
  </si>
  <si>
    <t>Índice relativo: CPI médio 2016=100; encadeado pelas taxas de inflação média anual WEO.</t>
  </si>
  <si>
    <t>Valor bruto/entrada (fórmula)</t>
  </si>
  <si>
    <t>Valor nominal em unidade padrão</t>
  </si>
  <si>
    <t>Fator deflator p/2025</t>
  </si>
  <si>
    <t>Valor real/preços 2025</t>
  </si>
  <si>
    <t>População usada (pessoas)</t>
  </si>
  <si>
    <t>Valor real per capita</t>
  </si>
  <si>
    <t>Indicador/valor não monetário</t>
  </si>
  <si>
    <t>Unidade de análise</t>
  </si>
  <si>
    <t>Status/tratamento</t>
  </si>
  <si>
    <t>Fórmula/transformação</t>
  </si>
  <si>
    <t>IDEB municipal - anos finais</t>
  </si>
  <si>
    <t>nota (0–10)</t>
  </si>
  <si>
    <t>Derivado pela fórmula INEP P×N; série bienal; hífens permanecem ausentes</t>
  </si>
  <si>
    <t>IDEB=P×N; o valor apresentado em resumo é arredondado a uma casa decimal.</t>
  </si>
  <si>
    <t>IDEB municipal - anos iniciais</t>
  </si>
  <si>
    <t>Receita total líquida (DCA bruta menos deduções identificadas)</t>
  </si>
  <si>
    <t>Derivado; ausente se receita bruta ou deduções não publicadas</t>
  </si>
  <si>
    <t>https://apidatalake.tesouro.gov.br/docs/siconfi/</t>
  </si>
  <si>
    <t>Receita líquida = Receita total bruta realizada - soma das deduções listadas pela API.</t>
  </si>
  <si>
    <t>Município</t>
  </si>
  <si>
    <t>Etapa</t>
  </si>
  <si>
    <t>Rede</t>
  </si>
  <si>
    <t>Indicador rendimento P</t>
  </si>
  <si>
    <t>Nota padronizada N</t>
  </si>
  <si>
    <t>IDEB=P×N</t>
  </si>
  <si>
    <t>IDEB arredondado (1 casa)</t>
  </si>
  <si>
    <t>Fonte</t>
  </si>
  <si>
    <t>Status</t>
  </si>
  <si>
    <t>Anos finais</t>
  </si>
  <si>
    <t>Municipal</t>
  </si>
  <si>
    <t>P×N; rede municipal; bienal</t>
  </si>
  <si>
    <t>Anos iniciais</t>
  </si>
  <si>
    <t>Variável/legado</t>
  </si>
  <si>
    <t>Valor original armazenado</t>
  </si>
  <si>
    <t>Unidade/escala original</t>
  </si>
  <si>
    <t>Valor atualizado</t>
  </si>
  <si>
    <t>Unidade atualizada</t>
  </si>
  <si>
    <t>Diferença calculada</t>
  </si>
  <si>
    <t>Comparabilidade e interpretação</t>
  </si>
  <si>
    <t>Fórmula original/nota</t>
  </si>
  <si>
    <t>fração do PIB/decimal</t>
  </si>
  <si>
    <t>%</t>
  </si>
  <si>
    <t>perímetro/vintage IMF distinto; comparação apenas lado a lado</t>
  </si>
  <si>
    <t>Valores originais mantidos; sem sobrescrever.</t>
  </si>
  <si>
    <t>sinal de borrowing é negativo nas duas fontes; perímetro FMI vs série legada não documentada</t>
  </si>
  <si>
    <t>fração anual</t>
  </si>
  <si>
    <t>não calcular delta: ano-base média anual no FMI vs definição antiga não documentada/possivelmente dez-dez</t>
  </si>
  <si>
    <t>mesma grandeza, mas WEO vintage 2026 revisa históricos</t>
  </si>
  <si>
    <t>comparável como razão, mas perímetro e vintage podem diferir</t>
  </si>
  <si>
    <t>Receita nominal legada vs receita bruta DCA</t>
  </si>
  <si>
    <t>R$ bilhões</t>
  </si>
  <si>
    <t>Δ% indicativa somente: planilha antiga não informa fonte/perímetro; não reconciliar como erro contábil sem origem.</t>
  </si>
  <si>
    <t>Original mantida; célula real anterior usa fórmula que referencia bloco Argentina (ex.: =B3*C3).</t>
  </si>
  <si>
    <t>Despesa pessoal legada vs DTP legal (RGF)</t>
  </si>
  <si>
    <t>Não equiparar: DTP RGF é métrica líquida da LRF; rubrica legada não tem fonte/metodologia.</t>
  </si>
  <si>
    <t>Fórmula original usa unidade nominal não explicitada em fonte.</t>
  </si>
  <si>
    <t>RCL legada vs RCL legal RGF</t>
  </si>
  <si>
    <t>Não calcular delta: fonte antiga não especificada; para Juazeiro a RCL legada coincide com receita nominal em todos os anos.</t>
  </si>
  <si>
    <t>RCL RGF é conceito legal distinto da receita total.</t>
  </si>
  <si>
    <t>Percentual de despesa pessoal legada vs RGF</t>
  </si>
  <si>
    <t>% ou fração conforme célula original</t>
  </si>
  <si>
    <t>% reportado pelo RGF</t>
  </si>
  <si>
    <t>Diferença em pontos percentuais é indicativa; denominador e perímetro antigos não são verificáveis.</t>
  </si>
  <si>
    <t>Original mantida.</t>
  </si>
  <si>
    <t>R$ milhões</t>
  </si>
  <si>
    <t>Receita total bruta realizada: Cidades@ vs DCA direto</t>
  </si>
  <si>
    <t>R$ 2025 Cidades@</t>
  </si>
  <si>
    <t>R$ 2025 Siconfi</t>
  </si>
  <si>
    <t>Divergência mantida e não reconciliada; API DCA direta é série primária deste arquivo. Cidades@ é verificação externa e pode refletir revisão/perímetro diferente.</t>
  </si>
  <si>
    <t>Despesa bruta empenhada: Cidades@ vs DCA direto</t>
  </si>
  <si>
    <t>Valores coincidem na página consultada; a nota da página ainda referencia contas anuais 2023 e acesso em junho/2024.</t>
  </si>
  <si>
    <t>Categoria</t>
  </si>
  <si>
    <t>Descrição do que foi atualizado/corrigido/ampliado</t>
  </si>
  <si>
    <t>Preservação</t>
  </si>
  <si>
    <t>A aba original Dados_P1_FSP_2026_Ciro_V3_Hibri foi mantida sem alteração; todas as novas análises ficam em novas abas.</t>
  </si>
  <si>
    <t>Inclusão</t>
  </si>
  <si>
    <t>Criada Planilha2 com painel anual integrado; Dados brutos atualizados, Dados tratados, IDEB, Deflatores, Metadados, Comparação legado, Registro alterações e Procedimentos.</t>
  </si>
  <si>
    <t>Atualização fiscal Brasil</t>
  </si>
  <si>
    <t>Adicionadas DCA-I-C/DCA-I-D e RGF-Anexo 01 de Fortaleza e Juazeiro do Norte para os exercícios 2016–2025.</t>
  </si>
  <si>
    <t>Correção de escopo</t>
  </si>
  <si>
    <t>Separados receita bruta realizada, deduções, tributos próprios, transferências por origem, despesas empenhadas/liquidadas/pagas, RCL e DTP. RCL não é igual à receita total.</t>
  </si>
  <si>
    <t>Reclassificação contábil</t>
  </si>
  <si>
    <t>Mapeada quebra de código da receita tributária e transferências em 2018; 2016–2017 foi capturado pela descrição e código legado; não somar categorias parent/filhas.</t>
  </si>
  <si>
    <t>Deflação brasileira</t>
  </si>
  <si>
    <t>Substituído o fator sem metadado da planilha antiga pelo IPCA mensal do IBGE (média dos 12 meses), base anual 2025, com fórmulas e tabela de deflatores.</t>
  </si>
  <si>
    <t>Deflação Argentina</t>
  </si>
  <si>
    <t>Criado fator de preços 2025 com inflação média anual CPI do FMI WEO; a taxa de 2016 não é publicada no endpoint, mas o encadeamento 2016→2025 usa as taxas 2017–2025.</t>
  </si>
  <si>
    <t>População</t>
  </si>
  <si>
    <t>Incluída série IBGE 2016–2026, com Censo 2022 e estimativa 2026 explicitados. 2023 permanece ausente; não há interpolação.</t>
  </si>
  <si>
    <t>PIB municipal</t>
  </si>
  <si>
    <t>Acrescentada a série IBGE 2014–2023 (10 exercícios), PIB e PIB per capita publicados, e PIB total real em R$ de 2025.</t>
  </si>
  <si>
    <t>Educação</t>
  </si>
  <si>
    <t>Acrescentado IDEB municipal 2005–2025 em anos ímpares (anos iniciais/finais), rede municipal, com P×N reproduzível; 2026 não publicado.</t>
  </si>
  <si>
    <t>Atualizadas as séries WEO/Fiscal Monitor do FMI até 2025 quando disponíveis, ARCA anual 2016–2025, RON 2016–2025 (unidade não declarada) e fechamento oficial SPN Base Caja 2025.</t>
  </si>
  <si>
    <t>Ausentes</t>
  </si>
  <si>
    <t>Nenhum dado ausente foi convertido em zero. 2023 população, 2025 FPP gasto/PIB e inflação CPI média 2016 ficam em branco, com explicação.</t>
  </si>
  <si>
    <t>Integridade do legado</t>
  </si>
  <si>
    <t>Fórmulas legadas de receita real em Fortaleza/Juazeiro apontam para células do bloco Argentina (ex.: =B3*C3), e deflatores estão sem metadado de escala/base; mantidas no original e não reutilizadas.</t>
  </si>
  <si>
    <t>Regressão/Laffer</t>
  </si>
  <si>
    <t>Elasticidade, R² e ponto de Laffer não foram recalculados: células do legado não têm base de dados/modelo reproduzível; beta1 está como data e R²=968 não tem escala plausível declarada.</t>
  </si>
  <si>
    <t>Execução fiscal 2026 não entra como ano completo; LOA é previsão/autorização e RREO/RGF durante exercício são parciais. População estimada IBGE 2026 aparece isolada.</t>
  </si>
  <si>
    <t>Definição</t>
  </si>
  <si>
    <t>Endereço eletrônico</t>
  </si>
  <si>
    <t>Período de cobertura</t>
  </si>
  <si>
    <t>Unidade de medida</t>
  </si>
  <si>
    <t>Tratamento dos dados ausentes</t>
  </si>
  <si>
    <t>Transformações realizadas</t>
  </si>
  <si>
    <t>Fórmulas usadas</t>
  </si>
  <si>
    <t>Quebras, revisões e diferenças de cobertura</t>
  </si>
  <si>
    <t>Total anual de receitas realizadas antes das deduções, DCA-I-C.</t>
  </si>
  <si>
    <t>Tesouro Nacional / Siconfi DCA-I-C</t>
  </si>
  <si>
    <t>2016–2025 por município</t>
  </si>
  <si>
    <t>R$ correntes</t>
  </si>
  <si>
    <t>Não imputar; célula vazia se a linha/coluna não retorna.</t>
  </si>
  <si>
    <t>Sem conversão nominal; valores reais = nominal × fator IPCA anual; per capita = real/população.</t>
  </si>
  <si>
    <t>R$2025_t = R$_nominal_t × IPCA_médio_2025/IPCA_médio_t; per capita = R$2025_t/pop_t.</t>
  </si>
  <si>
    <t>DCA bruto difere de RCL e pode divergir de Cidades por revisão/perímetro.</t>
  </si>
  <si>
    <t>Impostos, taxas e contribuições de melhoria classificados como receita tributária do município.</t>
  </si>
  <si>
    <t>Ausente não equivale a zero.</t>
  </si>
  <si>
    <t>Deflator IPCA nacional, razão anual de índices médios; per capita com população IBGE.</t>
  </si>
  <si>
    <t>R$2025_t = nominal_t × fator IPCA_t; per capita = R$2025_t/pop_t.</t>
  </si>
  <si>
    <t>Medida estreita de tributos próprios; exclui taxas/tarifas não tributárias e não é receita própria total.</t>
  </si>
  <si>
    <t>Receitas brutas de transferências intergovernamentais da União.</t>
  </si>
  <si>
    <t>Não preencher falhas com zero.</t>
  </si>
  <si>
    <t>Classificação mapeada pela descrição e código; valores reais em R$ 2025.</t>
  </si>
  <si>
    <t>Nominal × fator IPCA; per capita = real/população.</t>
  </si>
  <si>
    <t>Quebra de código/conta em 2018.</t>
  </si>
  <si>
    <t>Receitas brutas de transferências dos governos estaduais.</t>
  </si>
  <si>
    <t>Total anual de despesas na etapa de empenho, DCA-I-D.</t>
  </si>
  <si>
    <t>Tesouro Nacional / Siconfi DCA-I-D</t>
  </si>
  <si>
    <t>Ausente permanece vazio.</t>
  </si>
  <si>
    <t>Estágio empenhado selecionado para comparabilidade; deflação IPCA e per capita.</t>
  </si>
  <si>
    <t>Real = empenhada nominal × fator IPCA; per capita = real/população.</t>
  </si>
  <si>
    <t>Empenho não é liquidação/pagamento; as três etapas estão separadas.</t>
  </si>
  <si>
    <t>Despesa liquidada e despesa paga</t>
  </si>
  <si>
    <t>Totais anuais nos estágios liquidados e pagos da DCA-I-D.</t>
  </si>
  <si>
    <t>Ausentes preservados.</t>
  </si>
  <si>
    <t>Deflação IPCA e per capita, estágio sem somar a empenhada.</t>
  </si>
  <si>
    <t>Real = nominal × fator IPCA.</t>
  </si>
  <si>
    <t>Não somar os estágios entre si.</t>
  </si>
  <si>
    <t>RCL legal / RCL ajustada</t>
  </si>
  <si>
    <t>Receita Corrente Líquida legal e ajustada para limites fiscais.</t>
  </si>
  <si>
    <t>Tesouro Nacional / Siconfi RGF-Anexo 01</t>
  </si>
  <si>
    <t>2016–2025 por município; ajustada pode faltar em 2016</t>
  </si>
  <si>
    <t>Ausência não é inferida a partir da receita total.</t>
  </si>
  <si>
    <t>Deflação IPCA; separar RCL legal e ajustada.</t>
  </si>
  <si>
    <t>R$2025 = nominal × fator IPCA.</t>
  </si>
  <si>
    <t>RCL difere de receita total da DCA.</t>
  </si>
  <si>
    <t>Despesa líquida com pessoal conforme limites da LRF, RGF-Anexo 01.</t>
  </si>
  <si>
    <t>Manter branco se a API não retornar valor.</t>
  </si>
  <si>
    <t>Deflação IPCA; per capita; percentual oficial separado.</t>
  </si>
  <si>
    <t>DTP/RCL ajustada ×100 quando denominador existir; conferir percentual publicado pelo RGF.</t>
  </si>
  <si>
    <t>Métrica legal líquida, não idêntica a despesa bruta de pessoal da DCA.</t>
  </si>
  <si>
    <t>População municipal</t>
  </si>
  <si>
    <t>População estimada residente (SIDRA T6579 V9324), Censo 2022 e estimativa IBGE 2026.</t>
  </si>
  <si>
    <t>IBGE SIDRA, Cidades e Estados</t>
  </si>
  <si>
    <t>2016–2026; sem 2023 na série selecionada</t>
  </si>
  <si>
    <t>Pessoas</t>
  </si>
  <si>
    <t>Lacuna 2023 não interpolada; 2022 censo separado; 2026 é estimativa, não execução anual.</t>
  </si>
  <si>
    <t>Unidades de observação mantidas como publicadas; não deflacionar.</t>
  </si>
  <si>
    <t>Sem transformação; valores publicados.</t>
  </si>
  <si>
    <t>Quebra de base populacional antes/depois do Censo 2022; Cidades@ exibe 2026, mas a nota de fonte ainda cita estimativa com referência a 2024.</t>
  </si>
  <si>
    <t>PIB municipal total</t>
  </si>
  <si>
    <t>PIB municipal a preços correntes, base IBGE 2010–2023.</t>
  </si>
  <si>
    <t>IBGE Contas Regionais/Municipais</t>
  </si>
  <si>
    <t>2014–2023 (10 observações) por município</t>
  </si>
  <si>
    <t>R$ mil correntes na fonte; convertido a R$</t>
  </si>
  <si>
    <t>Não imputar 2024/2025; publicação termina em 2023.</t>
  </si>
  <si>
    <t>Fonte R$ mil ×1.000; converter a R$ 2025 com IPCA médio anual.</t>
  </si>
  <si>
    <t>PIB real R$2025 = PIB nominal R$ × fator IPCA; per capita calculável se população disponível.</t>
  </si>
  <si>
    <t>2022–2023 sujeitos a revisão; mudança de base prevista para 2027.</t>
  </si>
  <si>
    <t>PIB municipal per capita</t>
  </si>
  <si>
    <t>PIB nominal por habitante publicado pelo IBGE.</t>
  </si>
  <si>
    <t>2014–2023</t>
  </si>
  <si>
    <t>Ausências conforme publicação, sem cálculo substituto.</t>
  </si>
  <si>
    <t>IPCA anual para R$ 2025; manter denominador original do IBGE.</t>
  </si>
  <si>
    <t>PIBpc real = PIBpc nominal × fator IPCA.</t>
  </si>
  <si>
    <t>Denominador difere: 2010–2021 estimativa IBGE; 2022 Censo; 2023 população enviada ao TCU.</t>
  </si>
  <si>
    <t>IPCA nacional</t>
  </si>
  <si>
    <t>Número-índice geral mensal nacional, base dezembro/1993=100.</t>
  </si>
  <si>
    <t>IBGE SIDRA Tabela 1737, variável 2266</t>
  </si>
  <si>
    <t>Mensal 2014–2025; deflator anual de fluxo</t>
  </si>
  <si>
    <t>Índice</t>
  </si>
  <si>
    <t>Mês ausente inviabiliza média anual; não preencher.</t>
  </si>
  <si>
    <t>Média aritmética dos 12 índices mensais anuais; ano-base 2025.</t>
  </si>
  <si>
    <t>Fator_t = IPCA médio 2025 / IPCA médio t.</t>
  </si>
  <si>
    <t>IPCA nacional é deflator proxy para finanças municipais, não índice de preços municipal.</t>
  </si>
  <si>
    <t>IDEB municipal anos iniciais e finais</t>
  </si>
  <si>
    <t>Índice bienal por rede municipal, derivado do indicador P de fluxo e N de notas padronizadas.</t>
  </si>
  <si>
    <t>INEP, divulgação municipal IDEB 2025</t>
  </si>
  <si>
    <t>https://www.gov.br/inep/pt-br/areas-de-atuacao/pesquisas-estatisticas-e-indicadores/ideb/resultados</t>
  </si>
  <si>
    <t>2005–2025, anos ímpares bienais</t>
  </si>
  <si>
    <t>Índice (0–10), arredondado a 1 casa para exibição</t>
  </si>
  <si>
    <t>Hífen/valor indisponível vira célula vazia; não criar observação anual.</t>
  </si>
  <si>
    <t>Usar rede Municipal; IDEB = P×N; arredondar para uma casa decimal.</t>
  </si>
  <si>
    <t>IDEB = indicador de rendimento P × nota média padronizada N.</t>
  </si>
  <si>
    <t>A série histórica provém da vintage de divulgação 2025; anos 2026 não publicados.</t>
  </si>
  <si>
    <t>ARCA TOTAL GENERAL</t>
  </si>
  <si>
    <t>Arrecadação total federal reportada pela autoridade tributária, incluindo tributos, seguridade e aduanas.</t>
  </si>
  <si>
    <t>ARCA, Serie anual 2016–2025</t>
  </si>
  <si>
    <t>https://www.arca.gob.ar/institucional/estudios/serie-anual/</t>
  </si>
  <si>
    <t>2016–2025</t>
  </si>
  <si>
    <t>ARS na unidade do cabeçalho anual; normalizada para ARS</t>
  </si>
  <si>
    <t>Arquivo/cabeçalho não identificado implica vazio e sem escala.</t>
  </si>
  <si>
    <t>Miles de pesos ×1.000 ou millones ×1.000.000; deflator CPI médio WEO; população WEO per capita.</t>
  </si>
  <si>
    <t>ARS real2025 = ARS nominal × fator CPI; per capita = real / população.</t>
  </si>
  <si>
    <t>Não equivale à receita total do governo geral.</t>
  </si>
  <si>
    <t>RON transferências a províncias/CABA</t>
  </si>
  <si>
    <t>Recursos nacionais cuja distribuição envolve províncias, coparticipação e outros regimes.</t>
  </si>
  <si>
    <t>Ministerio de Economía / Hacienda</t>
  </si>
  <si>
    <t>https://www.argentina.gob.ar/economia/sechacienda/asuntosprovinciales/ron</t>
  </si>
  <si>
    <t>2016–2025 na extração</t>
  </si>
  <si>
    <t>Campo `monto`; arquivo não declara unidade/escala</t>
  </si>
  <si>
    <t>Unidade desconhecida registrada; sem conversão, deflação ou cálculo per capita.</t>
  </si>
  <si>
    <t>Agregação das linhas por ano, jurisdição, imposto e regime; valores mantidos no campo reportado.</t>
  </si>
  <si>
    <t>Soma(monto por jurisdição, imposto e regime); sem comparação real por falta de unidade explícita.</t>
  </si>
  <si>
    <t>RON é mais amplo que coparticipação exclusiva; cobertura institucional distinta de municípios brasileiros.</t>
  </si>
  <si>
    <t>PIB real da Argentina (crescimento)</t>
  </si>
  <si>
    <t>Variação anual do PIB real a preços constantes.</t>
  </si>
  <si>
    <t>IMF WEO, October 2026</t>
  </si>
  <si>
    <t>2016–2025 (histórico/vintage mais recente)</t>
  </si>
  <si>
    <t>% ao ano</t>
  </si>
  <si>
    <t>Ausente mantido vazio; não usar projeção 2026.</t>
  </si>
  <si>
    <t>Usar crescimento real publicado, sem deflator adicional.</t>
  </si>
  <si>
    <t>Variação anual real, fonte IMF WEO.</t>
  </si>
  <si>
    <t>Vintage pode ser revisada; não reproduz série INDEC de cada release.</t>
  </si>
  <si>
    <t>PIB nominal Argentina</t>
  </si>
  <si>
    <t>PIB a preços correntes.</t>
  </si>
  <si>
    <t>US$ bilhões correntes</t>
  </si>
  <si>
    <t>Ausente não imputado.</t>
  </si>
  <si>
    <t>Mantido nominal; não usado para comparar crescimento real.</t>
  </si>
  <si>
    <t>Per capita opcional = US$ bilhões ×1e9 / população.</t>
  </si>
  <si>
    <t>Conversão em USD depende do método/FX do WEO.</t>
  </si>
  <si>
    <t>Saldo fiscal do governo geral (% PIB)</t>
  </si>
  <si>
    <t>Net lending/borrowing; superávit positivo e déficit negativo, metodologia FMI.</t>
  </si>
  <si>
    <t>IMF Fiscal Monitor October 2026</t>
  </si>
  <si>
    <t>% do PIB</t>
  </si>
  <si>
    <t>Sem dado fica vazio.</t>
  </si>
  <si>
    <t>Razão publicada não necessita deflator adicional.</t>
  </si>
  <si>
    <t>Valor percentual conforme IMF FM.</t>
  </si>
  <si>
    <t>Perímetro e base GFSM diferem do SPN Base Caja argentino.</t>
  </si>
  <si>
    <t>Dívida bruta do governo geral (% PIB)</t>
  </si>
  <si>
    <t>Dívida bruta consolidada relativa ao PIB.</t>
  </si>
  <si>
    <t>Sem valor fica vazio.</t>
  </si>
  <si>
    <t>Razão publicada; sem deflator adicional.</t>
  </si>
  <si>
    <t>Valor percentual conforme IMF WEO.</t>
  </si>
  <si>
    <t>Revisões do PIB e do perímetro fiscal alteram a razão.</t>
  </si>
  <si>
    <t>Despesa pública governo geral (% PIB, FPP)</t>
  </si>
  <si>
    <t>Despesa de governo conforme Public Finances in Modern History database.</t>
  </si>
  <si>
    <t>IMF FPP (Dec 2025)</t>
  </si>
  <si>
    <t>2016–2024 na vintage baixada; 2025 não publicado</t>
  </si>
  <si>
    <t>2025 ausente preservado; não extrapolar.</t>
  </si>
  <si>
    <t>Razão percentual publicada.</t>
  </si>
  <si>
    <t>Não há fórmula de deflação adicional.</t>
  </si>
  <si>
    <t>Dataset/vintage diferente do WEO/Fiscal Monitor e do SPN base caixa.</t>
  </si>
  <si>
    <t>Inflação média anual CPI Argentina</t>
  </si>
  <si>
    <t>Variação percentual da média anual do CPI.</t>
  </si>
  <si>
    <t>2017–2025; 2016 ausente no endpoint</t>
  </si>
  <si>
    <t>2016 CPI média fica vazio; ainda se calcula fator 2016→2025 com as taxas 2017–2025.</t>
  </si>
  <si>
    <t>Índice relativo arbitrário 2016=100 encadeado pela inflação média; base 2025.</t>
  </si>
  <si>
    <t>CPI_t=CPI_(t−1)×(1+π_t/100); fator_t=CPI_2025/CPI_t.</t>
  </si>
  <si>
    <t>Deflator diferente da inflação dez/dez do arquivo anterior.</t>
  </si>
  <si>
    <t>População Argentina (WEO)</t>
  </si>
  <si>
    <t>População nacional estimada em milhões de pessoas.</t>
  </si>
  <si>
    <t>Milhões de pessoas na fonte; convertidas para pessoas</t>
  </si>
  <si>
    <t>Sem dado permanece vazio.</t>
  </si>
  <si>
    <t>Escala ×1.000.000 para pessoas; usada em per capita.</t>
  </si>
  <si>
    <t>Pessoas = milhões ×1e6.</t>
  </si>
  <si>
    <t>Estimativa internacional, não contagem censitária anual INDEC.</t>
  </si>
  <si>
    <t>Resultado primário/financeiro argentino 2025</t>
  </si>
  <si>
    <t>Resultados oficiais SPN Base Caja anual publicados pela Hacienda.</t>
  </si>
  <si>
    <t>Ministerio de Economía / Hacienda (16/01/2026)</t>
  </si>
  <si>
    <t>2025 somente nesta extração</t>
  </si>
  <si>
    <t>ARS milhões na fonte; normalizado para ARS</t>
  </si>
  <si>
    <t>Somente 2025 publicado neste registro; outros anos não preenchidos.</t>
  </si>
  <si>
    <t>Base caja; juros líquidos intra-setor público conforme nota. Real ARS 2025 via CPI médio WEO.</t>
  </si>
  <si>
    <t>ARS real = valor ARS × fator CPI; resultado primário informado = $11.769.219 milhões.</t>
  </si>
  <si>
    <t>Não comparar diretamente ao saldo IMF de governo geral.</t>
  </si>
  <si>
    <t>LOA 2026 / RREO 2026 (referência de cobertura)</t>
  </si>
  <si>
    <t>LOA é autorização/previsão; RREO/RGF 2026 são demonstrações parciais enquanto o exercício está aberto.</t>
  </si>
  <si>
    <t>Fortaleza/SEFIN; Siconfi</t>
  </si>
  <si>
    <t>2026 parcial/previsão; excluído da série realizada</t>
  </si>
  <si>
    <t>R$ de orçamento corrente</t>
  </si>
  <si>
    <t>Não inserido como realizado; valor não extraído da planilha original.</t>
  </si>
  <si>
    <t>Sem transformação.</t>
  </si>
  <si>
    <t>Não aplicável.</t>
  </si>
  <si>
    <t>Referência legal fornecida pelo solicitante não foi validada; LOA não substitui execução completa.</t>
  </si>
  <si>
    <t>Procedimento, fórmula e ligação entre as abas</t>
  </si>
  <si>
    <t>Arquivo original</t>
  </si>
  <si>
    <t>A primeira aba do arquivo enviado permanece intacta. Dados_P1FSP2026_Atualizado.xlsx foi criado a partir de DadosP1FSP2026.xlsx; não se substituíram células antigas.</t>
  </si>
  <si>
    <t>Dados brutos atualizados</t>
  </si>
  <si>
    <t>Contém os valores fonte selecionados, unidade reportada, escala, código/coluna, status e URL. Para Siconfi foram arquivadas as 60 respostas JSON DCA-I-C, DCA-I-D e RGF de 2016–2025.</t>
  </si>
  <si>
    <t>Dados tratados</t>
  </si>
  <si>
    <t>A coluna D liga ao valor bruto; E normaliza unidade apenas quando a escala está declarada; F liga ao fator de deflação; G calcula o valor real; H/I calculam população/per capita; J retém indicadores não monetários.</t>
  </si>
  <si>
    <t>IPCA Brasil</t>
  </si>
  <si>
    <t>IPCA_médio,t = MÉDIA dos 12 números-índice mensais do SIDRA 1737/2266. Fator_t = IPCA_médio,2025 / IPCA_médio,t. R$ real 2025 = R$ nominal × fator_t.</t>
  </si>
  <si>
    <t>Argentina CPI</t>
  </si>
  <si>
    <t>CPI_2016=100; CPI_t=CPI_(t−1)×(1+π_t/100), com π_t=inflação média anual WEO. Fator_t=CPI_2025/CPI_t. ARS real 2025 = ARS nominal × fator_t.</t>
  </si>
  <si>
    <t>Per capita</t>
  </si>
  <si>
    <t>Valor real per capita = valor real em moeda local / população do mesmo ano. Se população não publicada, resultado fica vazio.</t>
  </si>
  <si>
    <t>DTP/RCL</t>
  </si>
  <si>
    <t>DTP/RCL ajustada (%) = DTP / RCL ajustada ×100, quando ambas publicadas. Quando a RCL ajustada não está na linha de 2016, preserva-se o percentual oficial do RGF reportado sobre RCL.</t>
  </si>
  <si>
    <t>Receita líquida municipal</t>
  </si>
  <si>
    <t>Receita líquida derivada = Total de receitas brutas realizadas − soma das colunas “Deduções*” reportadas pela API DCA. Bruta e líquida permanecem separadas.</t>
  </si>
  <si>
    <t>IDEB</t>
  </si>
  <si>
    <t>IDEB=P×N, em que P é indicador de rendimento e N é nota média padronizada nas planilhas municipais INEP 2025. A visualização arredonda a 1 casa; dados componentes permanecem na aba IDEB e brutos.</t>
  </si>
  <si>
    <t>R$ mil PIB</t>
  </si>
  <si>
    <t>O PIB municipal total publicado em R$ mil foi multiplicado por 1.000 para normalizar em R$, depois deflacionado pelo IPCA. O PIB per capita oficial foi mantido com seu denominador IBGE, não recalculado com outra população.</t>
  </si>
  <si>
    <t>ARCA</t>
  </si>
  <si>
    <t>A linha TOTAL GENERAL e a coluna TOTAL de cada arquivo anual são usadas. O cabeçalho informa “Miles de pesos” ou “Millones de pesos”; multiplica-se por 1.000 ou 1.000.000 para ARS correntes.</t>
  </si>
  <si>
    <t>RON</t>
  </si>
  <si>
    <t>Soma-se `monto` por ano nas linhas de jurisdição/regime/imposto. Como a fonte não declara unidade/escala no CSV, o valor é mostrado na escala reportada e não é deflacionado nem per capita.</t>
  </si>
  <si>
    <t>Planilha2</t>
  </si>
  <si>
    <t>Painel largo por entidade/ano (2014–2025); fórmulas ligam cada indicador tratado. Célula sem observação aparece vazia. O uso de anos fora da cobertura de cada variável não constitui zero.</t>
  </si>
  <si>
    <t>Comparação legado</t>
  </si>
  <si>
    <t>Compara valores do arquivo anterior com atualizações, deixando delta em branco quando definição/unidade/perímetro não permitem diferença defensável. O arquivo original conserva as fórmulas antigas.</t>
  </si>
  <si>
    <t>Código de reprodução</t>
  </si>
  <si>
    <t>Scripts auxiliares: collect_siconfi.py, collect_public_sources.py, collect_ideb.py e build_deliverables.py. Diretório de dados brutos: /home/ubuntu/entrega_atualizacao/raw.</t>
  </si>
  <si>
    <t>Limitação 2026</t>
  </si>
  <si>
    <t>Não há execução anual final 2026 na data de consulta (22/10/2026). LOA é estimativa/autorização, RREO/RGF correntes são parciais; não são misturados à série de encerramentos anuais.</t>
  </si>
  <si>
    <t>Níveis institucionais</t>
  </si>
  <si>
    <t>Fortaleza/Juazeiro são governos municipais; Argentina é analisada com indicadores de governo geral/nacional e transferências federais às províncias. Não comparar diretamente níveis de governo ou moedas.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</si>
</sst>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dd\.mm"/>
    <numFmt numFmtId="165" formatCode="d\.m"/>
    <numFmt numFmtId="166" formatCode="0.00000000"/>
    <numFmt numFmtId="167" formatCode="yyyy\.m"/>
    <numFmt numFmtId="168" formatCode="#,##0.00;[Red]\(#,##0.00\);\-"/>
  </numFmts>
  <fonts count="5">
    <font>
      <sz val="10"/>
      <color rgb="FF000000"/>
      <name val="Arial"/>
      <charset val="1"/>
    </font>
    <font>
      <b/>
      <sz val="10"/>
      <color rgb="FFFFFFFF"/>
      <name val="Aptos"/>
      <charset val="1"/>
    </font>
    <font>
      <sz val="9"/>
      <color rgb="FF000000"/>
      <name val="Aptos"/>
      <charset val="1"/>
    </font>
    <font>
      <sz val="9"/>
      <color rgb="FF0000FF"/>
      <name val="Aptos"/>
      <charset val="1"/>
    </font>
    <font>
      <sz val="12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0" fontId="2" fillId="0" borderId="1" xfId="0" applyNumberFormat="1" applyFont="1" applyBorder="1" applyAlignment="1">
      <alignment vertical="top" wrapText="1"/>
    </xf>
    <xf numFmtId="9" fontId="2" fillId="0" borderId="1" xfId="0" applyNumberFormat="1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2" fontId="2" fillId="0" borderId="1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166" fontId="2" fillId="0" borderId="1" xfId="0" applyNumberFormat="1" applyFont="1" applyBorder="1" applyAlignment="1">
      <alignment vertical="top" wrapText="1"/>
    </xf>
    <xf numFmtId="167" fontId="2" fillId="0" borderId="1" xfId="0" applyNumberFormat="1" applyFont="1" applyBorder="1" applyAlignment="1">
      <alignment vertical="top" wrapText="1"/>
    </xf>
    <xf numFmtId="1" fontId="2" fillId="0" borderId="1" xfId="0" applyNumberFormat="1" applyFont="1" applyBorder="1" applyAlignment="1">
      <alignment vertical="top" wrapText="1"/>
    </xf>
    <xf numFmtId="168" fontId="2" fillId="0" borderId="1" xfId="0" applyNumberFormat="1" applyFont="1" applyBorder="1" applyAlignment="1">
      <alignment vertical="top" wrapText="1"/>
    </xf>
    <xf numFmtId="168" fontId="3" fillId="0" borderId="1" xfId="0" applyNumberFormat="1" applyFont="1" applyBorder="1" applyAlignment="1">
      <alignment vertical="top" wrapText="1"/>
    </xf>
    <xf numFmtId="0" fontId="4" fillId="0" borderId="0" xfId="1" applyFont="1"/>
    <xf numFmtId="0" fontId="3" fillId="0" borderId="1" xfId="0" applyFont="1" applyBorder="1" applyAlignment="1">
      <alignment vertical="top" wrapText="1"/>
    </xf>
    <xf numFmtId="168" fontId="4" fillId="0" borderId="0" xfId="1" applyNumberFormat="1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mf.org/external/datamapper/api/v2/LP/ARG?periods=2016,2017,2018,2019,2020,2021,2022,2023,2024,2025" TargetMode="External"/><Relationship Id="rId299" Type="http://schemas.openxmlformats.org/officeDocument/2006/relationships/hyperlink" Target="https://ftp.ibge.gov.br/Pib_Municipios/2022_2023/base/base_de_dados_2010_2023_xlsx.zip" TargetMode="External"/><Relationship Id="rId21" Type="http://schemas.openxmlformats.org/officeDocument/2006/relationships/hyperlink" Target="https://www.imf.org/external/datamapper/api/v2/LP/ARG?periods=2016,2017,2018,2019,2020,2021,2022,2023,2024,2025" TargetMode="External"/><Relationship Id="rId63" Type="http://schemas.openxmlformats.org/officeDocument/2006/relationships/hyperlink" Target="https://www.imf.org/external/datamapper/api/v2/NGDPD/ARG?periods=2016,2017,2018,2019,2020,2021,2022,2023,2024,2025" TargetMode="External"/><Relationship Id="rId159" Type="http://schemas.openxmlformats.org/officeDocument/2006/relationships/hyperlink" Target="https://servicodados.ibge.gov.br/api/v3/agregados/1737/metadados" TargetMode="External"/><Relationship Id="rId324" Type="http://schemas.openxmlformats.org/officeDocument/2006/relationships/hyperlink" Target="https://download.inep.gov.br/ideb/resultados/divulgacao_anos_iniciais_municipios_2025.zip" TargetMode="External"/><Relationship Id="rId366" Type="http://schemas.openxmlformats.org/officeDocument/2006/relationships/hyperlink" Target="https://apidatalake.tesouro.gov.br/ords/cdwhprd/siconfi/tt/dca?an_exercicio=2019&amp;id_ente=2304400&amp;no_anexo=DCA-Anexo+I-C" TargetMode="External"/><Relationship Id="rId531" Type="http://schemas.openxmlformats.org/officeDocument/2006/relationships/hyperlink" Target="https://ftp.ibge.gov.br/Pib_Municipios/2022_2023/base/base_de_dados_2010_2023_xlsx.zip" TargetMode="External"/><Relationship Id="rId573" Type="http://schemas.openxmlformats.org/officeDocument/2006/relationships/hyperlink" Target="https://apidatalake.tesouro.gov.br/ords/cdwhprd/siconfi/tt/rgf?an_exercicio=2020&amp;in_periodicidade=Q&amp;nr_periodo=3&amp;co_tipo_demonstrativo=RGF&amp;no_anexo=RGF-Anexo+01&amp;co_poder=E&amp;id_ente=2307304" TargetMode="External"/><Relationship Id="rId629" Type="http://schemas.openxmlformats.org/officeDocument/2006/relationships/hyperlink" Target="https://download.inep.gov.br/ideb/resultados/divulgacao_anos_iniciais_municipios_2025.zip" TargetMode="External"/><Relationship Id="rId170" Type="http://schemas.openxmlformats.org/officeDocument/2006/relationships/hyperlink" Target="https://servicodados.ibge.gov.br/api/v3/agregados/1737/metadados" TargetMode="External"/><Relationship Id="rId226" Type="http://schemas.openxmlformats.org/officeDocument/2006/relationships/hyperlink" Target="https://servicodados.ibge.gov.br/api/v3/agregados/1737/metadados" TargetMode="External"/><Relationship Id="rId433" Type="http://schemas.openxmlformats.org/officeDocument/2006/relationships/hyperlink" Target="https://apidatalake.tesouro.gov.br/ords/cdwhprd/siconfi/tt/rgf?an_exercicio=2023&amp;in_periodicidade=Q&amp;nr_periodo=3&amp;co_tipo_demonstrativo=RGF&amp;no_anexo=RGF-Anexo+01&amp;co_poder=E&amp;id_ente=2304400" TargetMode="External"/><Relationship Id="rId268" Type="http://schemas.openxmlformats.org/officeDocument/2006/relationships/hyperlink" Target="https://download.inep.gov.br/ideb/resultados/divulgacao_anos_iniciais_municipios_2025.zip" TargetMode="External"/><Relationship Id="rId475" Type="http://schemas.openxmlformats.org/officeDocument/2006/relationships/hyperlink" Target="https://download.inep.gov.br/ideb/resultados/divulgacao_anos_iniciais_municipios_2025.zip" TargetMode="External"/><Relationship Id="rId640" Type="http://schemas.openxmlformats.org/officeDocument/2006/relationships/hyperlink" Target="https://apidatalake.tesouro.gov.br/ords/cdwhprd/siconfi/tt/dca?an_exercicio=2024&amp;id_ente=2307304&amp;no_anexo=DCA-Anexo+I-C" TargetMode="External"/><Relationship Id="rId32" Type="http://schemas.openxmlformats.org/officeDocument/2006/relationships/hyperlink" Target="https://www.imf.org/external/datamapper/api/v2/GGXCNL_G01_GDP_PT/ARG?periods=2016,2017,2018,2019,2020,2021,2022,2023,2024,2025" TargetMode="External"/><Relationship Id="rId74" Type="http://schemas.openxmlformats.org/officeDocument/2006/relationships/hyperlink" Target="https://www.imf.org/external/datamapper/api/v2/PCPIPCH/ARG?periods=2016,2017,2018,2019,2020,2021,2022,2023,2024,2025" TargetMode="External"/><Relationship Id="rId128" Type="http://schemas.openxmlformats.org/officeDocument/2006/relationships/hyperlink" Target="https://servicodados.ibge.gov.br/api/v3/agregados/1737/metadados" TargetMode="External"/><Relationship Id="rId335" Type="http://schemas.openxmlformats.org/officeDocument/2006/relationships/hyperlink" Target="https://apidatalake.tesouro.gov.br/ords/cdwhprd/siconfi/tt/dca?an_exercicio=2018&amp;id_ente=2304400&amp;no_anexo=DCA-Anexo+I-C" TargetMode="External"/><Relationship Id="rId377" Type="http://schemas.openxmlformats.org/officeDocument/2006/relationships/hyperlink" Target="https://ftp.ibge.gov.br/Pib_Municipios/2022_2023/base/base_de_dados_2010_2023_xlsx.zip" TargetMode="External"/><Relationship Id="rId500" Type="http://schemas.openxmlformats.org/officeDocument/2006/relationships/hyperlink" Target="https://download.inep.gov.br/ideb/resultados/divulgacao_anos_finais_municipios_2025.zip" TargetMode="External"/><Relationship Id="rId542" Type="http://schemas.openxmlformats.org/officeDocument/2006/relationships/hyperlink" Target="https://apidatalake.tesouro.gov.br/ords/cdwhprd/siconfi/tt/dca?an_exercicio=2018&amp;id_ente=2307304&amp;no_anexo=DCA-Anexo+I-D" TargetMode="External"/><Relationship Id="rId584" Type="http://schemas.openxmlformats.org/officeDocument/2006/relationships/hyperlink" Target="https://apidatalake.tesouro.gov.br/ords/cdwhprd/siconfi/tt/dca?an_exercicio=2020&amp;id_ente=2307304&amp;no_anexo=DCA-Anexo+I-C" TargetMode="External"/><Relationship Id="rId5" Type="http://schemas.openxmlformats.org/officeDocument/2006/relationships/hyperlink" Target="https://www.imf.org/external/datamapper/api/v2/exp/ARG?periods=2016,2017,2018,2019,2020,2021,2022,2023,2024,2025" TargetMode="External"/><Relationship Id="rId181" Type="http://schemas.openxmlformats.org/officeDocument/2006/relationships/hyperlink" Target="https://servicodados.ibge.gov.br/api/v3/agregados/1737/metadados" TargetMode="External"/><Relationship Id="rId237" Type="http://schemas.openxmlformats.org/officeDocument/2006/relationships/hyperlink" Target="https://servicodados.ibge.gov.br/api/v3/agregados/1737/metadados" TargetMode="External"/><Relationship Id="rId402" Type="http://schemas.openxmlformats.org/officeDocument/2006/relationships/hyperlink" Target="https://apidatalake.tesouro.gov.br/ords/cdwhprd/siconfi/tt/dca?an_exercicio=2021&amp;id_ente=2304400&amp;no_anexo=DCA-Anexo+I-C" TargetMode="External"/><Relationship Id="rId279" Type="http://schemas.openxmlformats.org/officeDocument/2006/relationships/hyperlink" Target="https://download.inep.gov.br/ideb/resultados/divulgacao_anos_finais_municipios_2025.zip" TargetMode="External"/><Relationship Id="rId444" Type="http://schemas.openxmlformats.org/officeDocument/2006/relationships/hyperlink" Target="https://apisidra.ibge.gov.br/values/t/6579/p/2016-2025/v/9324/n6/2304400" TargetMode="External"/><Relationship Id="rId486" Type="http://schemas.openxmlformats.org/officeDocument/2006/relationships/hyperlink" Target="https://ftp.ibge.gov.br/Pib_Municipios/2022_2023/base/base_de_dados_2010_2023_xlsx.zip" TargetMode="External"/><Relationship Id="rId651" Type="http://schemas.openxmlformats.org/officeDocument/2006/relationships/hyperlink" Target="https://apidatalake.tesouro.gov.br/ords/cdwhprd/siconfi/tt/dca?an_exercicio=2024&amp;id_ente=2307304&amp;no_anexo=DCA-Anexo+I-C" TargetMode="External"/><Relationship Id="rId43" Type="http://schemas.openxmlformats.org/officeDocument/2006/relationships/hyperlink" Target="https://www.argentina.gob.ar/noticias/en-el-ano-2025-el-sector-publico-nacional-registro-un-superavit-financiero-de-1453819" TargetMode="External"/><Relationship Id="rId139" Type="http://schemas.openxmlformats.org/officeDocument/2006/relationships/hyperlink" Target="https://servicodados.ibge.gov.br/api/v3/agregados/1737/metadados" TargetMode="External"/><Relationship Id="rId290" Type="http://schemas.openxmlformats.org/officeDocument/2006/relationships/hyperlink" Target="https://download.inep.gov.br/ideb/resultados/divulgacao_anos_iniciais_municipios_2025.zip" TargetMode="External"/><Relationship Id="rId304" Type="http://schemas.openxmlformats.org/officeDocument/2006/relationships/hyperlink" Target="https://apidatalake.tesouro.gov.br/ords/cdwhprd/siconfi/tt/dca?an_exercicio=2016&amp;id_ente=2304400&amp;no_anexo=DCA-Anexo+I-D" TargetMode="External"/><Relationship Id="rId346" Type="http://schemas.openxmlformats.org/officeDocument/2006/relationships/hyperlink" Target="https://apidatalake.tesouro.gov.br/ords/cdwhprd/siconfi/tt/rgf?an_exercicio=2018&amp;in_periodicidade=Q&amp;nr_periodo=3&amp;co_tipo_demonstrativo=RGF&amp;no_anexo=RGF-Anexo+01&amp;co_poder=E&amp;id_ente=2304400" TargetMode="External"/><Relationship Id="rId388" Type="http://schemas.openxmlformats.org/officeDocument/2006/relationships/hyperlink" Target="https://apidatalake.tesouro.gov.br/ords/cdwhprd/siconfi/tt/dca?an_exercicio=2021&amp;id_ente=2304400&amp;no_anexo=DCA-Anexo+I-D" TargetMode="External"/><Relationship Id="rId511" Type="http://schemas.openxmlformats.org/officeDocument/2006/relationships/hyperlink" Target="https://ftp.ibge.gov.br/Pib_Municipios/2022_2023/base/base_de_dados_2010_2023_xlsx.zip" TargetMode="External"/><Relationship Id="rId553" Type="http://schemas.openxmlformats.org/officeDocument/2006/relationships/hyperlink" Target="https://apidatalake.tesouro.gov.br/ords/cdwhprd/siconfi/tt/dca?an_exercicio=2019&amp;id_ente=2307304&amp;no_anexo=DCA-Anexo+I-C" TargetMode="External"/><Relationship Id="rId609" Type="http://schemas.openxmlformats.org/officeDocument/2006/relationships/hyperlink" Target="https://apidatalake.tesouro.gov.br/ords/cdwhprd/siconfi/tt/dca?an_exercicio=2022&amp;id_ente=2307304&amp;no_anexo=DCA-Anexo+I-D" TargetMode="External"/><Relationship Id="rId85" Type="http://schemas.openxmlformats.org/officeDocument/2006/relationships/hyperlink" Target="https://contenidos.afip.gob.ar/institucional/estudios/archivos/serie2023.xls" TargetMode="External"/><Relationship Id="rId150" Type="http://schemas.openxmlformats.org/officeDocument/2006/relationships/hyperlink" Target="https://servicodados.ibge.gov.br/api/v3/agregados/1737/metadados" TargetMode="External"/><Relationship Id="rId192" Type="http://schemas.openxmlformats.org/officeDocument/2006/relationships/hyperlink" Target="https://servicodados.ibge.gov.br/api/v3/agregados/1737/metadados" TargetMode="External"/><Relationship Id="rId206" Type="http://schemas.openxmlformats.org/officeDocument/2006/relationships/hyperlink" Target="https://servicodados.ibge.gov.br/api/v3/agregados/1737/metadados" TargetMode="External"/><Relationship Id="rId413" Type="http://schemas.openxmlformats.org/officeDocument/2006/relationships/hyperlink" Target="https://apidatalake.tesouro.gov.br/ords/cdwhprd/siconfi/tt/rgf?an_exercicio=2022&amp;in_periodicidade=Q&amp;nr_periodo=3&amp;co_tipo_demonstrativo=RGF&amp;no_anexo=RGF-Anexo+01&amp;co_poder=E&amp;id_ente=2304400" TargetMode="External"/><Relationship Id="rId595" Type="http://schemas.openxmlformats.org/officeDocument/2006/relationships/hyperlink" Target="https://download.inep.gov.br/ideb/resultados/divulgacao_anos_iniciais_municipios_2025.zip" TargetMode="External"/><Relationship Id="rId248" Type="http://schemas.openxmlformats.org/officeDocument/2006/relationships/hyperlink" Target="https://servicodados.ibge.gov.br/api/v3/agregados/1737/metadados" TargetMode="External"/><Relationship Id="rId455" Type="http://schemas.openxmlformats.org/officeDocument/2006/relationships/hyperlink" Target="https://apidatalake.tesouro.gov.br/ords/cdwhprd/siconfi/tt/dca?an_exercicio=2025&amp;id_ente=2304400&amp;no_anexo=DCA-Anexo+I-D" TargetMode="External"/><Relationship Id="rId497" Type="http://schemas.openxmlformats.org/officeDocument/2006/relationships/hyperlink" Target="https://ftp.ibge.gov.br/Pib_Municipios/2022_2023/base/base_de_dados_2010_2023_xlsx.zip" TargetMode="External"/><Relationship Id="rId620" Type="http://schemas.openxmlformats.org/officeDocument/2006/relationships/hyperlink" Target="https://apidatalake.tesouro.gov.br/ords/cdwhprd/siconfi/tt/dca?an_exercicio=2022&amp;id_ente=2307304&amp;no_anexo=DCA-Anexo+I-C" TargetMode="External"/><Relationship Id="rId662" Type="http://schemas.openxmlformats.org/officeDocument/2006/relationships/hyperlink" Target="https://download.inep.gov.br/ideb/resultados/divulgacao_anos_finais_municipios_2025.zip" TargetMode="External"/><Relationship Id="rId12" Type="http://schemas.openxmlformats.org/officeDocument/2006/relationships/hyperlink" Target="https://www.argentina.gob.ar/noticias/en-el-ano-2025-el-sector-publico-nacional-registro-un-superavit-financiero-de-1453819" TargetMode="External"/><Relationship Id="rId108" Type="http://schemas.openxmlformats.org/officeDocument/2006/relationships/hyperlink" Target="https://www.argentina.gob.ar/noticias/en-el-ano-2025-el-sector-publico-nacional-registro-un-superavit-financiero-de-1453819" TargetMode="External"/><Relationship Id="rId315" Type="http://schemas.openxmlformats.org/officeDocument/2006/relationships/hyperlink" Target="https://apidatalake.tesouro.gov.br/ords/cdwhprd/siconfi/tt/dca?an_exercicio=2016&amp;id_ente=2304400&amp;no_anexo=DCA-Anexo+I-C" TargetMode="External"/><Relationship Id="rId357" Type="http://schemas.openxmlformats.org/officeDocument/2006/relationships/hyperlink" Target="https://download.inep.gov.br/ideb/resultados/divulgacao_anos_finais_municipios_2025.zip" TargetMode="External"/><Relationship Id="rId522" Type="http://schemas.openxmlformats.org/officeDocument/2006/relationships/hyperlink" Target="https://apidatalake.tesouro.gov.br/ords/cdwhprd/siconfi/tt/dca?an_exercicio=2017&amp;id_ente=2307304&amp;no_anexo=DCA-Anexo+I-D" TargetMode="External"/><Relationship Id="rId54" Type="http://schemas.openxmlformats.org/officeDocument/2006/relationships/hyperlink" Target="https://www.imf.org/external/datamapper/api/v2/GGXWDG_NGDP/ARG?periods=2016,2017,2018,2019,2020,2021,2022,2023,2024,2025" TargetMode="External"/><Relationship Id="rId96" Type="http://schemas.openxmlformats.org/officeDocument/2006/relationships/hyperlink" Target="https://www.argentina.gob.ar/noticias/en-el-ano-2025-el-sector-publico-nacional-registro-un-superavit-financiero-de-1453819" TargetMode="External"/><Relationship Id="rId161" Type="http://schemas.openxmlformats.org/officeDocument/2006/relationships/hyperlink" Target="https://servicodados.ibge.gov.br/api/v3/agregados/1737/metadados" TargetMode="External"/><Relationship Id="rId217" Type="http://schemas.openxmlformats.org/officeDocument/2006/relationships/hyperlink" Target="https://servicodados.ibge.gov.br/api/v3/agregados/1737/metadados" TargetMode="External"/><Relationship Id="rId399" Type="http://schemas.openxmlformats.org/officeDocument/2006/relationships/hyperlink" Target="https://apidatalake.tesouro.gov.br/ords/cdwhprd/siconfi/tt/rgf?an_exercicio=2021&amp;in_periodicidade=Q&amp;nr_periodo=3&amp;co_tipo_demonstrativo=RGF&amp;no_anexo=RGF-Anexo+01&amp;co_poder=E&amp;id_ente=2304400" TargetMode="External"/><Relationship Id="rId564" Type="http://schemas.openxmlformats.org/officeDocument/2006/relationships/hyperlink" Target="https://ftp.ibge.gov.br/Pib_Municipios/2022_2023/base/base_de_dados_2010_2023_xlsx.zip" TargetMode="External"/><Relationship Id="rId259" Type="http://schemas.openxmlformats.org/officeDocument/2006/relationships/hyperlink" Target="https://servicodados.ibge.gov.br/api/v3/agregados/1737/metadados" TargetMode="External"/><Relationship Id="rId424" Type="http://schemas.openxmlformats.org/officeDocument/2006/relationships/hyperlink" Target="https://apidatalake.tesouro.gov.br/ords/cdwhprd/siconfi/tt/rgf?an_exercicio=2023&amp;in_periodicidade=Q&amp;nr_periodo=3&amp;co_tipo_demonstrativo=RGF&amp;no_anexo=RGF-Anexo+01&amp;co_poder=E&amp;id_ente=2304400" TargetMode="External"/><Relationship Id="rId466" Type="http://schemas.openxmlformats.org/officeDocument/2006/relationships/hyperlink" Target="https://apidatalake.tesouro.gov.br/ords/cdwhprd/siconfi/tt/dca?an_exercicio=2025&amp;id_ente=2304400&amp;no_anexo=DCA-Anexo+I-C" TargetMode="External"/><Relationship Id="rId631" Type="http://schemas.openxmlformats.org/officeDocument/2006/relationships/hyperlink" Target="https://download.inep.gov.br/ideb/resultados/divulgacao_anos_iniciais_municipios_2025.zip" TargetMode="External"/><Relationship Id="rId23" Type="http://schemas.openxmlformats.org/officeDocument/2006/relationships/hyperlink" Target="https://www.argentina.gob.ar/noticias/en-el-ano-2025-el-sector-publico-nacional-registro-un-superavit-financiero-de-1453819" TargetMode="External"/><Relationship Id="rId119" Type="http://schemas.openxmlformats.org/officeDocument/2006/relationships/hyperlink" Target="https://www.argentina.gob.ar/noticias/en-el-ano-2025-el-sector-publico-nacional-registro-un-superavit-financiero-de-1453819" TargetMode="External"/><Relationship Id="rId270" Type="http://schemas.openxmlformats.org/officeDocument/2006/relationships/hyperlink" Target="https://download.inep.gov.br/ideb/resultados/divulgacao_anos_iniciais_municipios_2025.zip" TargetMode="External"/><Relationship Id="rId326" Type="http://schemas.openxmlformats.org/officeDocument/2006/relationships/hyperlink" Target="https://download.inep.gov.br/ideb/resultados/divulgacao_anos_iniciais_municipios_2025.zip" TargetMode="External"/><Relationship Id="rId533" Type="http://schemas.openxmlformats.org/officeDocument/2006/relationships/hyperlink" Target="https://apidatalake.tesouro.gov.br/ords/cdwhprd/siconfi/tt/rgf?an_exercicio=2017&amp;in_periodicidade=Q&amp;nr_periodo=3&amp;co_tipo_demonstrativo=RGF&amp;no_anexo=RGF-Anexo+01&amp;co_poder=E&amp;id_ente=2307304" TargetMode="External"/><Relationship Id="rId65" Type="http://schemas.openxmlformats.org/officeDocument/2006/relationships/hyperlink" Target="https://www.imf.org/external/datamapper/api/v2/exp/ARG?periods=2016,2017,2018,2019,2020,2021,2022,2023,2024,2025" TargetMode="External"/><Relationship Id="rId130" Type="http://schemas.openxmlformats.org/officeDocument/2006/relationships/hyperlink" Target="https://servicodados.ibge.gov.br/api/v3/agregados/1737/metadados" TargetMode="External"/><Relationship Id="rId368" Type="http://schemas.openxmlformats.org/officeDocument/2006/relationships/hyperlink" Target="https://apidatalake.tesouro.gov.br/ords/cdwhprd/siconfi/tt/dca?an_exercicio=2019&amp;id_ente=2304400&amp;no_anexo=DCA-Anexo+I-C" TargetMode="External"/><Relationship Id="rId575" Type="http://schemas.openxmlformats.org/officeDocument/2006/relationships/hyperlink" Target="https://apidatalake.tesouro.gov.br/ords/cdwhprd/siconfi/tt/dca?an_exercicio=2020&amp;id_ente=2307304&amp;no_anexo=DCA-Anexo+I-D" TargetMode="External"/><Relationship Id="rId172" Type="http://schemas.openxmlformats.org/officeDocument/2006/relationships/hyperlink" Target="https://servicodados.ibge.gov.br/api/v3/agregados/1737/metadados" TargetMode="External"/><Relationship Id="rId228" Type="http://schemas.openxmlformats.org/officeDocument/2006/relationships/hyperlink" Target="https://servicodados.ibge.gov.br/api/v3/agregados/1737/metadados" TargetMode="External"/><Relationship Id="rId435" Type="http://schemas.openxmlformats.org/officeDocument/2006/relationships/hyperlink" Target="https://apidatalake.tesouro.gov.br/ords/cdwhprd/siconfi/tt/dca?an_exercicio=2023&amp;id_ente=2304400&amp;no_anexo=DCA-Anexo+I-C" TargetMode="External"/><Relationship Id="rId477" Type="http://schemas.openxmlformats.org/officeDocument/2006/relationships/hyperlink" Target="https://download.inep.gov.br/ideb/resultados/divulgacao_anos_iniciais_municipios_2025.zip" TargetMode="External"/><Relationship Id="rId600" Type="http://schemas.openxmlformats.org/officeDocument/2006/relationships/hyperlink" Target="https://apisidra.ibge.gov.br/values/t/6579/p/2016-2025/v/9324/n6/2307304" TargetMode="External"/><Relationship Id="rId642" Type="http://schemas.openxmlformats.org/officeDocument/2006/relationships/hyperlink" Target="https://apidatalake.tesouro.gov.br/ords/cdwhprd/siconfi/tt/dca?an_exercicio=2024&amp;id_ente=2307304&amp;no_anexo=DCA-Anexo+I-C" TargetMode="External"/><Relationship Id="rId281" Type="http://schemas.openxmlformats.org/officeDocument/2006/relationships/hyperlink" Target="https://download.inep.gov.br/ideb/resultados/divulgacao_anos_finais_municipios_2025.zip" TargetMode="External"/><Relationship Id="rId337" Type="http://schemas.openxmlformats.org/officeDocument/2006/relationships/hyperlink" Target="https://apidatalake.tesouro.gov.br/ords/cdwhprd/siconfi/tt/dca?an_exercicio=2018&amp;id_ente=2304400&amp;no_anexo=DCA-Anexo+I-C" TargetMode="External"/><Relationship Id="rId502" Type="http://schemas.openxmlformats.org/officeDocument/2006/relationships/hyperlink" Target="https://ftp.ibge.gov.br/Pib_Municipios/2022_2023/base/base_de_dados_2010_2023_xlsx.zip" TargetMode="External"/><Relationship Id="rId34" Type="http://schemas.openxmlformats.org/officeDocument/2006/relationships/hyperlink" Target="https://www.argentina.gob.ar/sites/default/files/serie_ron_2003_2025.csv" TargetMode="External"/><Relationship Id="rId76" Type="http://schemas.openxmlformats.org/officeDocument/2006/relationships/hyperlink" Target="https://www.imf.org/external/datamapper/api/v2/NGDP_RPCH/ARG?periods=2016,2017,2018,2019,2020,2021,2022,2023,2024,2025" TargetMode="External"/><Relationship Id="rId141" Type="http://schemas.openxmlformats.org/officeDocument/2006/relationships/hyperlink" Target="https://servicodados.ibge.gov.br/api/v3/agregados/1737/metadados" TargetMode="External"/><Relationship Id="rId379" Type="http://schemas.openxmlformats.org/officeDocument/2006/relationships/hyperlink" Target="https://apidatalake.tesouro.gov.br/ords/cdwhprd/siconfi/tt/rgf?an_exercicio=2020&amp;in_periodicidade=Q&amp;nr_periodo=3&amp;co_tipo_demonstrativo=RGF&amp;no_anexo=RGF-Anexo+01&amp;co_poder=E&amp;id_ente=2304400" TargetMode="External"/><Relationship Id="rId544" Type="http://schemas.openxmlformats.org/officeDocument/2006/relationships/hyperlink" Target="https://apidatalake.tesouro.gov.br/ords/cdwhprd/siconfi/tt/rgf?an_exercicio=2018&amp;in_periodicidade=Q&amp;nr_periodo=3&amp;co_tipo_demonstrativo=RGF&amp;no_anexo=RGF-Anexo+01&amp;co_poder=E&amp;id_ente=2307304" TargetMode="External"/><Relationship Id="rId586" Type="http://schemas.openxmlformats.org/officeDocument/2006/relationships/hyperlink" Target="https://apidatalake.tesouro.gov.br/ords/cdwhprd/siconfi/tt/dca?an_exercicio=2020&amp;id_ente=2307304&amp;no_anexo=DCA-Anexo+I-C" TargetMode="External"/><Relationship Id="rId7" Type="http://schemas.openxmlformats.org/officeDocument/2006/relationships/hyperlink" Target="https://www.argentina.gob.ar/noticias/en-el-ano-2025-el-sector-publico-nacional-registro-un-superavit-financiero-de-1453819" TargetMode="External"/><Relationship Id="rId183" Type="http://schemas.openxmlformats.org/officeDocument/2006/relationships/hyperlink" Target="https://servicodados.ibge.gov.br/api/v3/agregados/1737/metadados" TargetMode="External"/><Relationship Id="rId239" Type="http://schemas.openxmlformats.org/officeDocument/2006/relationships/hyperlink" Target="https://servicodados.ibge.gov.br/api/v3/agregados/1737/metadados" TargetMode="External"/><Relationship Id="rId390" Type="http://schemas.openxmlformats.org/officeDocument/2006/relationships/hyperlink" Target="https://apidatalake.tesouro.gov.br/ords/cdwhprd/siconfi/tt/rgf?an_exercicio=2021&amp;in_periodicidade=Q&amp;nr_periodo=3&amp;co_tipo_demonstrativo=RGF&amp;no_anexo=RGF-Anexo+01&amp;co_poder=E&amp;id_ente=2304400" TargetMode="External"/><Relationship Id="rId404" Type="http://schemas.openxmlformats.org/officeDocument/2006/relationships/hyperlink" Target="https://apidatalake.tesouro.gov.br/ords/cdwhprd/siconfi/tt/rgf?an_exercicio=2022&amp;in_periodicidade=Q&amp;nr_periodo=3&amp;co_tipo_demonstrativo=RGF&amp;no_anexo=RGF-Anexo+01&amp;co_poder=E&amp;id_ente=2304400" TargetMode="External"/><Relationship Id="rId446" Type="http://schemas.openxmlformats.org/officeDocument/2006/relationships/hyperlink" Target="https://apidatalake.tesouro.gov.br/ords/cdwhprd/siconfi/tt/rgf?an_exercicio=2024&amp;in_periodicidade=Q&amp;nr_periodo=3&amp;co_tipo_demonstrativo=RGF&amp;no_anexo=RGF-Anexo+01&amp;co_poder=E&amp;id_ente=2304400" TargetMode="External"/><Relationship Id="rId611" Type="http://schemas.openxmlformats.org/officeDocument/2006/relationships/hyperlink" Target="https://apidatalake.tesouro.gov.br/ords/cdwhprd/siconfi/tt/dca?an_exercicio=2022&amp;id_ente=2307304&amp;no_anexo=DCA-Anexo+I-D" TargetMode="External"/><Relationship Id="rId653" Type="http://schemas.openxmlformats.org/officeDocument/2006/relationships/hyperlink" Target="https://apidatalake.tesouro.gov.br/ords/cdwhprd/siconfi/tt/dca?an_exercicio=2025&amp;id_ente=2307304&amp;no_anexo=DCA-Anexo+I-C" TargetMode="External"/><Relationship Id="rId250" Type="http://schemas.openxmlformats.org/officeDocument/2006/relationships/hyperlink" Target="https://servicodados.ibge.gov.br/api/v3/agregados/1737/metadados" TargetMode="External"/><Relationship Id="rId292" Type="http://schemas.openxmlformats.org/officeDocument/2006/relationships/hyperlink" Target="https://ftp.ibge.gov.br/Pib_Municipios/2022_2023/base/base_de_dados_2010_2023_xlsx.zip" TargetMode="External"/><Relationship Id="rId306" Type="http://schemas.openxmlformats.org/officeDocument/2006/relationships/hyperlink" Target="https://apidatalake.tesouro.gov.br/ords/cdwhprd/siconfi/tt/dca?an_exercicio=2016&amp;id_ente=2304400&amp;no_anexo=DCA-Anexo+I-D" TargetMode="External"/><Relationship Id="rId488" Type="http://schemas.openxmlformats.org/officeDocument/2006/relationships/hyperlink" Target="https://ftp.ibge.gov.br/Pib_Municipios/2022_2023/base/base_de_dados_2010_2023_xlsx.zip" TargetMode="External"/><Relationship Id="rId45" Type="http://schemas.openxmlformats.org/officeDocument/2006/relationships/hyperlink" Target="https://www.imf.org/external/datamapper/api/v2/LP/ARG?periods=2016,2017,2018,2019,2020,2021,2022,2023,2024,2025" TargetMode="External"/><Relationship Id="rId87" Type="http://schemas.openxmlformats.org/officeDocument/2006/relationships/hyperlink" Target="https://www.imf.org/external/datamapper/api/v2/NGDPD/ARG?periods=2016,2017,2018,2019,2020,2021,2022,2023,2024,2025" TargetMode="External"/><Relationship Id="rId110" Type="http://schemas.openxmlformats.org/officeDocument/2006/relationships/hyperlink" Target="https://www.imf.org/external/datamapper/api/v2/PCPIPCH/ARG?periods=2016,2017,2018,2019,2020,2021,2022,2023,2024,2025" TargetMode="External"/><Relationship Id="rId348" Type="http://schemas.openxmlformats.org/officeDocument/2006/relationships/hyperlink" Target="https://apidatalake.tesouro.gov.br/ords/cdwhprd/siconfi/tt/dca?an_exercicio=2018&amp;id_ente=2304400&amp;no_anexo=DCA-Anexo+I-C" TargetMode="External"/><Relationship Id="rId513" Type="http://schemas.openxmlformats.org/officeDocument/2006/relationships/hyperlink" Target="https://apisidra.ibge.gov.br/values/t/6579/p/2016-2025/v/9324/n6/2307304" TargetMode="External"/><Relationship Id="rId555" Type="http://schemas.openxmlformats.org/officeDocument/2006/relationships/hyperlink" Target="https://apidatalake.tesouro.gov.br/ords/cdwhprd/siconfi/tt/dca?an_exercicio=2019&amp;id_ente=2307304&amp;no_anexo=DCA-Anexo+I-C" TargetMode="External"/><Relationship Id="rId597" Type="http://schemas.openxmlformats.org/officeDocument/2006/relationships/hyperlink" Target="https://download.inep.gov.br/ideb/resultados/divulgacao_anos_iniciais_municipios_2025.zip" TargetMode="External"/><Relationship Id="rId152" Type="http://schemas.openxmlformats.org/officeDocument/2006/relationships/hyperlink" Target="https://servicodados.ibge.gov.br/api/v3/agregados/1737/metadados" TargetMode="External"/><Relationship Id="rId194" Type="http://schemas.openxmlformats.org/officeDocument/2006/relationships/hyperlink" Target="https://servicodados.ibge.gov.br/api/v3/agregados/1737/metadados" TargetMode="External"/><Relationship Id="rId208" Type="http://schemas.openxmlformats.org/officeDocument/2006/relationships/hyperlink" Target="https://servicodados.ibge.gov.br/api/v3/agregados/1737/metadados" TargetMode="External"/><Relationship Id="rId415" Type="http://schemas.openxmlformats.org/officeDocument/2006/relationships/hyperlink" Target="https://apidatalake.tesouro.gov.br/ords/cdwhprd/siconfi/tt/dca?an_exercicio=2022&amp;id_ente=2304400&amp;no_anexo=DCA-Anexo+I-C" TargetMode="External"/><Relationship Id="rId457" Type="http://schemas.openxmlformats.org/officeDocument/2006/relationships/hyperlink" Target="https://download.inep.gov.br/ideb/resultados/divulgacao_anos_finais_municipios_2025.zip" TargetMode="External"/><Relationship Id="rId622" Type="http://schemas.openxmlformats.org/officeDocument/2006/relationships/hyperlink" Target="https://apidatalake.tesouro.gov.br/ords/cdwhprd/siconfi/tt/rgf?an_exercicio=2023&amp;in_periodicidade=Q&amp;nr_periodo=3&amp;co_tipo_demonstrativo=RGF&amp;no_anexo=RGF-Anexo+01&amp;co_poder=E&amp;id_ente=2307304" TargetMode="External"/><Relationship Id="rId261" Type="http://schemas.openxmlformats.org/officeDocument/2006/relationships/hyperlink" Target="https://servicodados.ibge.gov.br/api/v3/agregados/1737/metadados" TargetMode="External"/><Relationship Id="rId499" Type="http://schemas.openxmlformats.org/officeDocument/2006/relationships/hyperlink" Target="https://download.inep.gov.br/ideb/resultados/divulgacao_anos_iniciais_municipios_2025.zip" TargetMode="External"/><Relationship Id="rId664" Type="http://schemas.openxmlformats.org/officeDocument/2006/relationships/hyperlink" Target="https://apisidra.ibge.gov.br/values/t/6579/p/2016-2025/v/9324/n6/2307304" TargetMode="External"/><Relationship Id="rId14" Type="http://schemas.openxmlformats.org/officeDocument/2006/relationships/hyperlink" Target="https://www.imf.org/external/datamapper/api/v2/PCPIPCH/ARG?periods=2016,2017,2018,2019,2020,2021,2022,2023,2024,2025" TargetMode="External"/><Relationship Id="rId56" Type="http://schemas.openxmlformats.org/officeDocument/2006/relationships/hyperlink" Target="https://www.imf.org/external/datamapper/api/v2/GGXCNL_G01_GDP_PT/ARG?periods=2016,2017,2018,2019,2020,2021,2022,2023,2024,2025" TargetMode="External"/><Relationship Id="rId317" Type="http://schemas.openxmlformats.org/officeDocument/2006/relationships/hyperlink" Target="https://apidatalake.tesouro.gov.br/ords/cdwhprd/siconfi/tt/rgf?an_exercicio=2017&amp;in_periodicidade=Q&amp;nr_periodo=3&amp;co_tipo_demonstrativo=RGF&amp;no_anexo=RGF-Anexo+01&amp;co_poder=E&amp;id_ente=2304400" TargetMode="External"/><Relationship Id="rId359" Type="http://schemas.openxmlformats.org/officeDocument/2006/relationships/hyperlink" Target="https://download.inep.gov.br/ideb/resultados/divulgacao_anos_finais_municipios_2025.zip" TargetMode="External"/><Relationship Id="rId524" Type="http://schemas.openxmlformats.org/officeDocument/2006/relationships/hyperlink" Target="https://apidatalake.tesouro.gov.br/ords/cdwhprd/siconfi/tt/dca?an_exercicio=2017&amp;id_ente=2307304&amp;no_anexo=DCA-Anexo+I-D" TargetMode="External"/><Relationship Id="rId566" Type="http://schemas.openxmlformats.org/officeDocument/2006/relationships/hyperlink" Target="https://apisidra.ibge.gov.br/values/t/6579/p/2016-2025/v/9324/n6/2307304" TargetMode="External"/><Relationship Id="rId98" Type="http://schemas.openxmlformats.org/officeDocument/2006/relationships/hyperlink" Target="https://www.imf.org/external/datamapper/api/v2/PCPIPCH/ARG?periods=2016,2017,2018,2019,2020,2021,2022,2023,2024,2025" TargetMode="External"/><Relationship Id="rId121" Type="http://schemas.openxmlformats.org/officeDocument/2006/relationships/hyperlink" Target="https://servicodados.ibge.gov.br/api/v3/agregados/1737/metadados" TargetMode="External"/><Relationship Id="rId163" Type="http://schemas.openxmlformats.org/officeDocument/2006/relationships/hyperlink" Target="https://servicodados.ibge.gov.br/api/v3/agregados/1737/metadados" TargetMode="External"/><Relationship Id="rId219" Type="http://schemas.openxmlformats.org/officeDocument/2006/relationships/hyperlink" Target="https://servicodados.ibge.gov.br/api/v3/agregados/1737/metadados" TargetMode="External"/><Relationship Id="rId370" Type="http://schemas.openxmlformats.org/officeDocument/2006/relationships/hyperlink" Target="https://apidatalake.tesouro.gov.br/ords/cdwhprd/siconfi/tt/rgf?an_exercicio=2020&amp;in_periodicidade=Q&amp;nr_periodo=3&amp;co_tipo_demonstrativo=RGF&amp;no_anexo=RGF-Anexo+01&amp;co_poder=E&amp;id_ente=2304400" TargetMode="External"/><Relationship Id="rId426" Type="http://schemas.openxmlformats.org/officeDocument/2006/relationships/hyperlink" Target="https://download.inep.gov.br/ideb/resultados/divulgacao_anos_iniciais_municipios_2025.zip" TargetMode="External"/><Relationship Id="rId633" Type="http://schemas.openxmlformats.org/officeDocument/2006/relationships/hyperlink" Target="https://ftp.ibge.gov.br/Pib_Municipios/2022_2023/base/base_de_dados_2010_2023_xlsx.zip" TargetMode="External"/><Relationship Id="rId230" Type="http://schemas.openxmlformats.org/officeDocument/2006/relationships/hyperlink" Target="https://servicodados.ibge.gov.br/api/v3/agregados/1737/metadados" TargetMode="External"/><Relationship Id="rId468" Type="http://schemas.openxmlformats.org/officeDocument/2006/relationships/hyperlink" Target="https://download.inep.gov.br/ideb/resultados/divulgacao_anos_finais_municipios_2025.zip" TargetMode="External"/><Relationship Id="rId25" Type="http://schemas.openxmlformats.org/officeDocument/2006/relationships/hyperlink" Target="https://contenidos.afip.gob.ar/institucional/estudios/archivos/serie2018.xls" TargetMode="External"/><Relationship Id="rId67" Type="http://schemas.openxmlformats.org/officeDocument/2006/relationships/hyperlink" Target="https://www.argentina.gob.ar/noticias/en-el-ano-2025-el-sector-publico-nacional-registro-un-superavit-financiero-de-1453819" TargetMode="External"/><Relationship Id="rId272" Type="http://schemas.openxmlformats.org/officeDocument/2006/relationships/hyperlink" Target="https://download.inep.gov.br/ideb/resultados/divulgacao_anos_iniciais_municipios_2025.zip" TargetMode="External"/><Relationship Id="rId328" Type="http://schemas.openxmlformats.org/officeDocument/2006/relationships/hyperlink" Target="https://ftp.ibge.gov.br/Pib_Municipios/2022_2023/base/base_de_dados_2010_2023_xlsx.zip" TargetMode="External"/><Relationship Id="rId535" Type="http://schemas.openxmlformats.org/officeDocument/2006/relationships/hyperlink" Target="https://apidatalake.tesouro.gov.br/ords/cdwhprd/siconfi/tt/dca?an_exercicio=2017&amp;id_ente=2307304&amp;no_anexo=DCA-Anexo+I-C" TargetMode="External"/><Relationship Id="rId577" Type="http://schemas.openxmlformats.org/officeDocument/2006/relationships/hyperlink" Target="https://apidatalake.tesouro.gov.br/ords/cdwhprd/siconfi/tt/dca?an_exercicio=2020&amp;id_ente=2307304&amp;no_anexo=DCA-Anexo+I-D" TargetMode="External"/><Relationship Id="rId132" Type="http://schemas.openxmlformats.org/officeDocument/2006/relationships/hyperlink" Target="https://servicodados.ibge.gov.br/api/v3/agregados/1737/metadados" TargetMode="External"/><Relationship Id="rId174" Type="http://schemas.openxmlformats.org/officeDocument/2006/relationships/hyperlink" Target="https://servicodados.ibge.gov.br/api/v3/agregados/1737/metadados" TargetMode="External"/><Relationship Id="rId381" Type="http://schemas.openxmlformats.org/officeDocument/2006/relationships/hyperlink" Target="https://apidatalake.tesouro.gov.br/ords/cdwhprd/siconfi/tt/dca?an_exercicio=2020&amp;id_ente=2304400&amp;no_anexo=DCA-Anexo+I-C" TargetMode="External"/><Relationship Id="rId602" Type="http://schemas.openxmlformats.org/officeDocument/2006/relationships/hyperlink" Target="https://apidatalake.tesouro.gov.br/ords/cdwhprd/siconfi/tt/rgf?an_exercicio=2021&amp;in_periodicidade=Q&amp;nr_periodo=3&amp;co_tipo_demonstrativo=RGF&amp;no_anexo=RGF-Anexo+01&amp;co_poder=E&amp;id_ente=2307304" TargetMode="External"/><Relationship Id="rId241" Type="http://schemas.openxmlformats.org/officeDocument/2006/relationships/hyperlink" Target="https://servicodados.ibge.gov.br/api/v3/agregados/1737/metadados" TargetMode="External"/><Relationship Id="rId437" Type="http://schemas.openxmlformats.org/officeDocument/2006/relationships/hyperlink" Target="https://apidatalake.tesouro.gov.br/ords/cdwhprd/siconfi/tt/dca?an_exercicio=2024&amp;id_ente=2304400&amp;no_anexo=DCA-Anexo+I-C" TargetMode="External"/><Relationship Id="rId479" Type="http://schemas.openxmlformats.org/officeDocument/2006/relationships/hyperlink" Target="https://download.inep.gov.br/ideb/resultados/divulgacao_anos_iniciais_municipios_2025.zip" TargetMode="External"/><Relationship Id="rId644" Type="http://schemas.openxmlformats.org/officeDocument/2006/relationships/hyperlink" Target="https://apidatalake.tesouro.gov.br/ords/cdwhprd/siconfi/tt/dca?an_exercicio=2024&amp;id_ente=2307304&amp;no_anexo=DCA-Anexo+I-D" TargetMode="External"/><Relationship Id="rId36" Type="http://schemas.openxmlformats.org/officeDocument/2006/relationships/hyperlink" Target="https://www.argentina.gob.ar/noticias/en-el-ano-2025-el-sector-publico-nacional-registro-un-superavit-financiero-de-1453819" TargetMode="External"/><Relationship Id="rId283" Type="http://schemas.openxmlformats.org/officeDocument/2006/relationships/hyperlink" Target="https://ftp.ibge.gov.br/Pib_Municipios/2022_2023/base/base_de_dados_2010_2023_xlsx.zip" TargetMode="External"/><Relationship Id="rId339" Type="http://schemas.openxmlformats.org/officeDocument/2006/relationships/hyperlink" Target="https://apidatalake.tesouro.gov.br/ords/cdwhprd/siconfi/tt/dca?an_exercicio=2018&amp;id_ente=2304400&amp;no_anexo=DCA-Anexo+I-D" TargetMode="External"/><Relationship Id="rId490" Type="http://schemas.openxmlformats.org/officeDocument/2006/relationships/hyperlink" Target="https://download.inep.gov.br/ideb/resultados/divulgacao_anos_finais_municipios_2025.zip" TargetMode="External"/><Relationship Id="rId504" Type="http://schemas.openxmlformats.org/officeDocument/2006/relationships/hyperlink" Target="https://apidatalake.tesouro.gov.br/ords/cdwhprd/siconfi/tt/dca?an_exercicio=2016&amp;id_ente=2307304&amp;no_anexo=DCA-Anexo+I-C" TargetMode="External"/><Relationship Id="rId546" Type="http://schemas.openxmlformats.org/officeDocument/2006/relationships/hyperlink" Target="https://ftp.ibge.gov.br/Pib_Municipios/2022_2023/base/base_de_dados_2010_2023_xlsx.zip" TargetMode="External"/><Relationship Id="rId78" Type="http://schemas.openxmlformats.org/officeDocument/2006/relationships/hyperlink" Target="https://www.imf.org/external/datamapper/api/v2/GGXWDG_NGDP/ARG?periods=2016,2017,2018,2019,2020,2021,2022,2023,2024,2025" TargetMode="External"/><Relationship Id="rId101" Type="http://schemas.openxmlformats.org/officeDocument/2006/relationships/hyperlink" Target="https://www.imf.org/external/datamapper/api/v2/exp/ARG?periods=2016,2017,2018,2019,2020,2021,2022,2023,2024,2025" TargetMode="External"/><Relationship Id="rId143" Type="http://schemas.openxmlformats.org/officeDocument/2006/relationships/hyperlink" Target="https://servicodados.ibge.gov.br/api/v3/agregados/1737/metadados" TargetMode="External"/><Relationship Id="rId185" Type="http://schemas.openxmlformats.org/officeDocument/2006/relationships/hyperlink" Target="https://servicodados.ibge.gov.br/api/v3/agregados/1737/metadados" TargetMode="External"/><Relationship Id="rId350" Type="http://schemas.openxmlformats.org/officeDocument/2006/relationships/hyperlink" Target="https://apidatalake.tesouro.gov.br/ords/cdwhprd/siconfi/tt/dca?an_exercicio=2019&amp;id_ente=2304400&amp;no_anexo=DCA-Anexo+I-C" TargetMode="External"/><Relationship Id="rId406" Type="http://schemas.openxmlformats.org/officeDocument/2006/relationships/hyperlink" Target="https://apidatalake.tesouro.gov.br/ords/cdwhprd/siconfi/tt/dca?an_exercicio=2022&amp;id_ente=2304400&amp;no_anexo=DCA-Anexo+I-D" TargetMode="External"/><Relationship Id="rId588" Type="http://schemas.openxmlformats.org/officeDocument/2006/relationships/hyperlink" Target="https://apidatalake.tesouro.gov.br/ords/cdwhprd/siconfi/tt/rgf?an_exercicio=2021&amp;in_periodicidade=Q&amp;nr_periodo=3&amp;co_tipo_demonstrativo=RGF&amp;no_anexo=RGF-Anexo+01&amp;co_poder=E&amp;id_ente=2307304" TargetMode="External"/><Relationship Id="rId9" Type="http://schemas.openxmlformats.org/officeDocument/2006/relationships/hyperlink" Target="https://www.imf.org/external/datamapper/api/v2/LP/ARG?periods=2016,2017,2018,2019,2020,2021,2022,2023,2024,2025" TargetMode="External"/><Relationship Id="rId210" Type="http://schemas.openxmlformats.org/officeDocument/2006/relationships/hyperlink" Target="https://servicodados.ibge.gov.br/api/v3/agregados/1737/metadados" TargetMode="External"/><Relationship Id="rId392" Type="http://schemas.openxmlformats.org/officeDocument/2006/relationships/hyperlink" Target="https://download.inep.gov.br/ideb/resultados/divulgacao_anos_iniciais_municipios_2025.zip" TargetMode="External"/><Relationship Id="rId448" Type="http://schemas.openxmlformats.org/officeDocument/2006/relationships/hyperlink" Target="https://apidatalake.tesouro.gov.br/ords/cdwhprd/siconfi/tt/dca?an_exercicio=2024&amp;id_ente=2304400&amp;no_anexo=DCA-Anexo+I-C" TargetMode="External"/><Relationship Id="rId613" Type="http://schemas.openxmlformats.org/officeDocument/2006/relationships/hyperlink" Target="https://ftp.ibge.gov.br/Pib_Municipios/2022_2023/base/base_de_dados_2010_2023_xlsx.zip" TargetMode="External"/><Relationship Id="rId655" Type="http://schemas.openxmlformats.org/officeDocument/2006/relationships/hyperlink" Target="https://apidatalake.tesouro.gov.br/ords/cdwhprd/siconfi/tt/dca?an_exercicio=2025&amp;id_ente=2307304&amp;no_anexo=DCA-Anexo+I-C" TargetMode="External"/><Relationship Id="rId252" Type="http://schemas.openxmlformats.org/officeDocument/2006/relationships/hyperlink" Target="https://servicodados.ibge.gov.br/api/v3/agregados/1737/metadados" TargetMode="External"/><Relationship Id="rId294" Type="http://schemas.openxmlformats.org/officeDocument/2006/relationships/hyperlink" Target="https://ftp.ibge.gov.br/Pib_Municipios/2022_2023/base/base_de_dados_2010_2023_xlsx.zip" TargetMode="External"/><Relationship Id="rId308" Type="http://schemas.openxmlformats.org/officeDocument/2006/relationships/hyperlink" Target="https://ftp.ibge.gov.br/Pib_Municipios/2022_2023/base/base_de_dados_2010_2023_xlsx.zip" TargetMode="External"/><Relationship Id="rId515" Type="http://schemas.openxmlformats.org/officeDocument/2006/relationships/hyperlink" Target="https://apidatalake.tesouro.gov.br/ords/cdwhprd/siconfi/tt/rgf?an_exercicio=2016&amp;in_periodicidade=Q&amp;nr_periodo=3&amp;co_tipo_demonstrativo=RGF&amp;no_anexo=RGF-Anexo+01&amp;co_poder=E&amp;id_ente=2307304" TargetMode="External"/><Relationship Id="rId47" Type="http://schemas.openxmlformats.org/officeDocument/2006/relationships/hyperlink" Target="https://www.argentina.gob.ar/noticias/en-el-ano-2025-el-sector-publico-nacional-registro-un-superavit-financiero-de-1453819" TargetMode="External"/><Relationship Id="rId89" Type="http://schemas.openxmlformats.org/officeDocument/2006/relationships/hyperlink" Target="https://www.imf.org/external/datamapper/api/v2/exp/ARG?periods=2016,2017,2018,2019,2020,2021,2022,2023,2024,2025" TargetMode="External"/><Relationship Id="rId112" Type="http://schemas.openxmlformats.org/officeDocument/2006/relationships/hyperlink" Target="https://www.imf.org/external/datamapper/api/v2/NGDP_RPCH/ARG?periods=2016,2017,2018,2019,2020,2021,2022,2023,2024,2025" TargetMode="External"/><Relationship Id="rId154" Type="http://schemas.openxmlformats.org/officeDocument/2006/relationships/hyperlink" Target="https://servicodados.ibge.gov.br/api/v3/agregados/1737/metadados" TargetMode="External"/><Relationship Id="rId361" Type="http://schemas.openxmlformats.org/officeDocument/2006/relationships/hyperlink" Target="https://ftp.ibge.gov.br/Pib_Municipios/2022_2023/base/base_de_dados_2010_2023_xlsx.zip" TargetMode="External"/><Relationship Id="rId557" Type="http://schemas.openxmlformats.org/officeDocument/2006/relationships/hyperlink" Target="https://apidatalake.tesouro.gov.br/ords/cdwhprd/siconfi/tt/dca?an_exercicio=2019&amp;id_ente=2307304&amp;no_anexo=DCA-Anexo+I-D" TargetMode="External"/><Relationship Id="rId599" Type="http://schemas.openxmlformats.org/officeDocument/2006/relationships/hyperlink" Target="https://ftp.ibge.gov.br/Pib_Municipios/2022_2023/base/base_de_dados_2010_2023_xlsx.zip" TargetMode="External"/><Relationship Id="rId196" Type="http://schemas.openxmlformats.org/officeDocument/2006/relationships/hyperlink" Target="https://servicodados.ibge.gov.br/api/v3/agregados/1737/metadados" TargetMode="External"/><Relationship Id="rId417" Type="http://schemas.openxmlformats.org/officeDocument/2006/relationships/hyperlink" Target="https://apidatalake.tesouro.gov.br/ords/cdwhprd/siconfi/tt/dca?an_exercicio=2022&amp;id_ente=2304400&amp;no_anexo=DCA-Anexo+I-C" TargetMode="External"/><Relationship Id="rId459" Type="http://schemas.openxmlformats.org/officeDocument/2006/relationships/hyperlink" Target="https://download.inep.gov.br/ideb/resultados/divulgacao_anos_finais_municipios_2025.zip" TargetMode="External"/><Relationship Id="rId624" Type="http://schemas.openxmlformats.org/officeDocument/2006/relationships/hyperlink" Target="https://apidatalake.tesouro.gov.br/ords/cdwhprd/siconfi/tt/dca?an_exercicio=2023&amp;id_ente=2307304&amp;no_anexo=DCA-Anexo+I-D" TargetMode="External"/><Relationship Id="rId666" Type="http://schemas.openxmlformats.org/officeDocument/2006/relationships/hyperlink" Target="https://apidatalake.tesouro.gov.br/ords/cdwhprd/siconfi/tt/rgf?an_exercicio=2025&amp;in_periodicidade=Q&amp;nr_periodo=3&amp;co_tipo_demonstrativo=RGF&amp;no_anexo=RGF-Anexo+01&amp;co_poder=E&amp;id_ente=2307304" TargetMode="External"/><Relationship Id="rId16" Type="http://schemas.openxmlformats.org/officeDocument/2006/relationships/hyperlink" Target="https://www.imf.org/external/datamapper/api/v2/NGDP_RPCH/ARG?periods=2016,2017,2018,2019,2020,2021,2022,2023,2024,2025" TargetMode="External"/><Relationship Id="rId221" Type="http://schemas.openxmlformats.org/officeDocument/2006/relationships/hyperlink" Target="https://servicodados.ibge.gov.br/api/v3/agregados/1737/metadados" TargetMode="External"/><Relationship Id="rId263" Type="http://schemas.openxmlformats.org/officeDocument/2006/relationships/hyperlink" Target="https://servicodados.ibge.gov.br/api/v3/agregados/1737/metadados" TargetMode="External"/><Relationship Id="rId319" Type="http://schemas.openxmlformats.org/officeDocument/2006/relationships/hyperlink" Target="https://apidatalake.tesouro.gov.br/ords/cdwhprd/siconfi/tt/dca?an_exercicio=2017&amp;id_ente=2304400&amp;no_anexo=DCA-Anexo+I-D" TargetMode="External"/><Relationship Id="rId470" Type="http://schemas.openxmlformats.org/officeDocument/2006/relationships/hyperlink" Target="https://download.inep.gov.br/ideb/resultados/divulgacao_anos_finais_municipios_2025.zip" TargetMode="External"/><Relationship Id="rId526" Type="http://schemas.openxmlformats.org/officeDocument/2006/relationships/hyperlink" Target="https://download.inep.gov.br/ideb/resultados/divulgacao_anos_finais_municipios_2025.zip" TargetMode="External"/><Relationship Id="rId58" Type="http://schemas.openxmlformats.org/officeDocument/2006/relationships/hyperlink" Target="https://www.argentina.gob.ar/sites/default/files/serie_ron_2003_2025.csv" TargetMode="External"/><Relationship Id="rId123" Type="http://schemas.openxmlformats.org/officeDocument/2006/relationships/hyperlink" Target="https://servicodados.ibge.gov.br/api/v3/agregados/1737/metadados" TargetMode="External"/><Relationship Id="rId330" Type="http://schemas.openxmlformats.org/officeDocument/2006/relationships/hyperlink" Target="https://apidatalake.tesouro.gov.br/ords/cdwhprd/siconfi/tt/rgf?an_exercicio=2017&amp;in_periodicidade=Q&amp;nr_periodo=3&amp;co_tipo_demonstrativo=RGF&amp;no_anexo=RGF-Anexo+01&amp;co_poder=E&amp;id_ente=2304400" TargetMode="External"/><Relationship Id="rId568" Type="http://schemas.openxmlformats.org/officeDocument/2006/relationships/hyperlink" Target="https://apidatalake.tesouro.gov.br/ords/cdwhprd/siconfi/tt/rgf?an_exercicio=2019&amp;in_periodicidade=Q&amp;nr_periodo=3&amp;co_tipo_demonstrativo=RGF&amp;no_anexo=RGF-Anexo+01&amp;co_poder=E&amp;id_ente=2307304" TargetMode="External"/><Relationship Id="rId165" Type="http://schemas.openxmlformats.org/officeDocument/2006/relationships/hyperlink" Target="https://servicodados.ibge.gov.br/api/v3/agregados/1737/metadados" TargetMode="External"/><Relationship Id="rId372" Type="http://schemas.openxmlformats.org/officeDocument/2006/relationships/hyperlink" Target="https://apidatalake.tesouro.gov.br/ords/cdwhprd/siconfi/tt/dca?an_exercicio=2020&amp;id_ente=2304400&amp;no_anexo=DCA-Anexo+I-D" TargetMode="External"/><Relationship Id="rId428" Type="http://schemas.openxmlformats.org/officeDocument/2006/relationships/hyperlink" Target="https://download.inep.gov.br/ideb/resultados/divulgacao_anos_iniciais_municipios_2025.zip" TargetMode="External"/><Relationship Id="rId635" Type="http://schemas.openxmlformats.org/officeDocument/2006/relationships/hyperlink" Target="https://apidatalake.tesouro.gov.br/ords/cdwhprd/siconfi/tt/rgf?an_exercicio=2023&amp;in_periodicidade=Q&amp;nr_periodo=3&amp;co_tipo_demonstrativo=RGF&amp;no_anexo=RGF-Anexo+01&amp;co_poder=E&amp;id_ente=2307304" TargetMode="External"/><Relationship Id="rId232" Type="http://schemas.openxmlformats.org/officeDocument/2006/relationships/hyperlink" Target="https://servicodados.ibge.gov.br/api/v3/agregados/1737/metadados" TargetMode="External"/><Relationship Id="rId274" Type="http://schemas.openxmlformats.org/officeDocument/2006/relationships/hyperlink" Target="https://download.inep.gov.br/ideb/resultados/divulgacao_anos_iniciais_municipios_2025.zip" TargetMode="External"/><Relationship Id="rId481" Type="http://schemas.openxmlformats.org/officeDocument/2006/relationships/hyperlink" Target="https://ftp.ibge.gov.br/Pib_Municipios/2022_2023/base/base_de_dados_2010_2023_xlsx.zip" TargetMode="External"/><Relationship Id="rId27" Type="http://schemas.openxmlformats.org/officeDocument/2006/relationships/hyperlink" Target="https://www.imf.org/external/datamapper/api/v2/NGDPD/ARG?periods=2016,2017,2018,2019,2020,2021,2022,2023,2024,2025" TargetMode="External"/><Relationship Id="rId69" Type="http://schemas.openxmlformats.org/officeDocument/2006/relationships/hyperlink" Target="https://www.imf.org/external/datamapper/api/v2/LP/ARG?periods=2016,2017,2018,2019,2020,2021,2022,2023,2024,2025" TargetMode="External"/><Relationship Id="rId134" Type="http://schemas.openxmlformats.org/officeDocument/2006/relationships/hyperlink" Target="https://servicodados.ibge.gov.br/api/v3/agregados/1737/metadados" TargetMode="External"/><Relationship Id="rId537" Type="http://schemas.openxmlformats.org/officeDocument/2006/relationships/hyperlink" Target="https://apidatalake.tesouro.gov.br/ords/cdwhprd/siconfi/tt/dca?an_exercicio=2017&amp;id_ente=2307304&amp;no_anexo=DCA-Anexo+I-C" TargetMode="External"/><Relationship Id="rId579" Type="http://schemas.openxmlformats.org/officeDocument/2006/relationships/hyperlink" Target="https://ftp.ibge.gov.br/Pib_Municipios/2022_2023/base/base_de_dados_2010_2023_xlsx.zip" TargetMode="External"/><Relationship Id="rId80" Type="http://schemas.openxmlformats.org/officeDocument/2006/relationships/hyperlink" Target="https://www.imf.org/external/datamapper/api/v2/GGXCNL_G01_GDP_PT/ARG?periods=2016,2017,2018,2019,2020,2021,2022,2023,2024,2025" TargetMode="External"/><Relationship Id="rId176" Type="http://schemas.openxmlformats.org/officeDocument/2006/relationships/hyperlink" Target="https://servicodados.ibge.gov.br/api/v3/agregados/1737/metadados" TargetMode="External"/><Relationship Id="rId341" Type="http://schemas.openxmlformats.org/officeDocument/2006/relationships/hyperlink" Target="https://apidatalake.tesouro.gov.br/ords/cdwhprd/siconfi/tt/rgf?an_exercicio=2018&amp;in_periodicidade=Q&amp;nr_periodo=3&amp;co_tipo_demonstrativo=RGF&amp;no_anexo=RGF-Anexo+01&amp;co_poder=E&amp;id_ente=2304400" TargetMode="External"/><Relationship Id="rId383" Type="http://schemas.openxmlformats.org/officeDocument/2006/relationships/hyperlink" Target="https://apidatalake.tesouro.gov.br/ords/cdwhprd/siconfi/tt/dca?an_exercicio=2020&amp;id_ente=2304400&amp;no_anexo=DCA-Anexo+I-C" TargetMode="External"/><Relationship Id="rId439" Type="http://schemas.openxmlformats.org/officeDocument/2006/relationships/hyperlink" Target="https://apidatalake.tesouro.gov.br/ords/cdwhprd/siconfi/tt/dca?an_exercicio=2024&amp;id_ente=2304400&amp;no_anexo=DCA-Anexo+I-C" TargetMode="External"/><Relationship Id="rId590" Type="http://schemas.openxmlformats.org/officeDocument/2006/relationships/hyperlink" Target="https://apidatalake.tesouro.gov.br/ords/cdwhprd/siconfi/tt/dca?an_exercicio=2021&amp;id_ente=2307304&amp;no_anexo=DCA-Anexo+I-D" TargetMode="External"/><Relationship Id="rId604" Type="http://schemas.openxmlformats.org/officeDocument/2006/relationships/hyperlink" Target="https://apidatalake.tesouro.gov.br/ords/cdwhprd/siconfi/tt/dca?an_exercicio=2021&amp;id_ente=2307304&amp;no_anexo=DCA-Anexo+I-C" TargetMode="External"/><Relationship Id="rId646" Type="http://schemas.openxmlformats.org/officeDocument/2006/relationships/hyperlink" Target="https://apidatalake.tesouro.gov.br/ords/cdwhprd/siconfi/tt/rgf?an_exercicio=2024&amp;in_periodicidade=Q&amp;nr_periodo=3&amp;co_tipo_demonstrativo=RGF&amp;no_anexo=RGF-Anexo+01&amp;co_poder=E&amp;id_ente=2307304" TargetMode="External"/><Relationship Id="rId201" Type="http://schemas.openxmlformats.org/officeDocument/2006/relationships/hyperlink" Target="https://servicodados.ibge.gov.br/api/v3/agregados/1737/metadados" TargetMode="External"/><Relationship Id="rId243" Type="http://schemas.openxmlformats.org/officeDocument/2006/relationships/hyperlink" Target="https://servicodados.ibge.gov.br/api/v3/agregados/1737/metadados" TargetMode="External"/><Relationship Id="rId285" Type="http://schemas.openxmlformats.org/officeDocument/2006/relationships/hyperlink" Target="https://ftp.ibge.gov.br/Pib_Municipios/2022_2023/base/base_de_dados_2010_2023_xlsx.zip" TargetMode="External"/><Relationship Id="rId450" Type="http://schemas.openxmlformats.org/officeDocument/2006/relationships/hyperlink" Target="https://apidatalake.tesouro.gov.br/ords/cdwhprd/siconfi/tt/dca?an_exercicio=2025&amp;id_ente=2304400&amp;no_anexo=DCA-Anexo+I-C" TargetMode="External"/><Relationship Id="rId506" Type="http://schemas.openxmlformats.org/officeDocument/2006/relationships/hyperlink" Target="https://apidatalake.tesouro.gov.br/ords/cdwhprd/siconfi/tt/dca?an_exercicio=2016&amp;id_ente=2307304&amp;no_anexo=DCA-Anexo+I-C" TargetMode="External"/><Relationship Id="rId38" Type="http://schemas.openxmlformats.org/officeDocument/2006/relationships/hyperlink" Target="https://www.imf.org/external/datamapper/api/v2/PCPIPCH/ARG?periods=2016,2017,2018,2019,2020,2021,2022,2023,2024,2025" TargetMode="External"/><Relationship Id="rId103" Type="http://schemas.openxmlformats.org/officeDocument/2006/relationships/hyperlink" Target="https://www.argentina.gob.ar/noticias/en-el-ano-2025-el-sector-publico-nacional-registro-un-superavit-financiero-de-1453819" TargetMode="External"/><Relationship Id="rId310" Type="http://schemas.openxmlformats.org/officeDocument/2006/relationships/hyperlink" Target="https://apisidra.ibge.gov.br/values/t/6579/p/2016-2025/v/9324/n6/2304400" TargetMode="External"/><Relationship Id="rId492" Type="http://schemas.openxmlformats.org/officeDocument/2006/relationships/hyperlink" Target="https://download.inep.gov.br/ideb/resultados/divulgacao_anos_finais_municipios_2025.zip" TargetMode="External"/><Relationship Id="rId548" Type="http://schemas.openxmlformats.org/officeDocument/2006/relationships/hyperlink" Target="https://apidatalake.tesouro.gov.br/ords/cdwhprd/siconfi/tt/rgf?an_exercicio=2018&amp;in_periodicidade=Q&amp;nr_periodo=3&amp;co_tipo_demonstrativo=RGF&amp;no_anexo=RGF-Anexo+01&amp;co_poder=E&amp;id_ente=2307304" TargetMode="External"/><Relationship Id="rId91" Type="http://schemas.openxmlformats.org/officeDocument/2006/relationships/hyperlink" Target="https://www.argentina.gob.ar/noticias/en-el-ano-2025-el-sector-publico-nacional-registro-un-superavit-financiero-de-1453819" TargetMode="External"/><Relationship Id="rId145" Type="http://schemas.openxmlformats.org/officeDocument/2006/relationships/hyperlink" Target="https://servicodados.ibge.gov.br/api/v3/agregados/1737/metadados" TargetMode="External"/><Relationship Id="rId187" Type="http://schemas.openxmlformats.org/officeDocument/2006/relationships/hyperlink" Target="https://servicodados.ibge.gov.br/api/v3/agregados/1737/metadados" TargetMode="External"/><Relationship Id="rId352" Type="http://schemas.openxmlformats.org/officeDocument/2006/relationships/hyperlink" Target="https://apidatalake.tesouro.gov.br/ords/cdwhprd/siconfi/tt/dca?an_exercicio=2019&amp;id_ente=2304400&amp;no_anexo=DCA-Anexo+I-C" TargetMode="External"/><Relationship Id="rId394" Type="http://schemas.openxmlformats.org/officeDocument/2006/relationships/hyperlink" Target="https://download.inep.gov.br/ideb/resultados/divulgacao_anos_iniciais_municipios_2025.zip" TargetMode="External"/><Relationship Id="rId408" Type="http://schemas.openxmlformats.org/officeDocument/2006/relationships/hyperlink" Target="https://apidatalake.tesouro.gov.br/ords/cdwhprd/siconfi/tt/dca?an_exercicio=2022&amp;id_ente=2304400&amp;no_anexo=DCA-Anexo+I-D" TargetMode="External"/><Relationship Id="rId615" Type="http://schemas.openxmlformats.org/officeDocument/2006/relationships/hyperlink" Target="https://www.ibge.gov.br/cidades-e-estados/ce/juazeiro-do-norte.html" TargetMode="External"/><Relationship Id="rId212" Type="http://schemas.openxmlformats.org/officeDocument/2006/relationships/hyperlink" Target="https://servicodados.ibge.gov.br/api/v3/agregados/1737/metadados" TargetMode="External"/><Relationship Id="rId254" Type="http://schemas.openxmlformats.org/officeDocument/2006/relationships/hyperlink" Target="https://servicodados.ibge.gov.br/api/v3/agregados/1737/metadados" TargetMode="External"/><Relationship Id="rId657" Type="http://schemas.openxmlformats.org/officeDocument/2006/relationships/hyperlink" Target="https://apidatalake.tesouro.gov.br/ords/cdwhprd/siconfi/tt/dca?an_exercicio=2025&amp;id_ente=2307304&amp;no_anexo=DCA-Anexo+I-D" TargetMode="External"/><Relationship Id="rId49" Type="http://schemas.openxmlformats.org/officeDocument/2006/relationships/hyperlink" Target="https://contenidos.afip.gob.ar/institucional/estudios/archivos/serie2020.xls" TargetMode="External"/><Relationship Id="rId114" Type="http://schemas.openxmlformats.org/officeDocument/2006/relationships/hyperlink" Target="https://www.imf.org/external/datamapper/api/v2/GGXWDG_NGDP/ARG?periods=2016,2017,2018,2019,2020,2021,2022,2023,2024,2025" TargetMode="External"/><Relationship Id="rId296" Type="http://schemas.openxmlformats.org/officeDocument/2006/relationships/hyperlink" Target="https://download.inep.gov.br/ideb/resultados/divulgacao_anos_iniciais_municipios_2025.zip" TargetMode="External"/><Relationship Id="rId461" Type="http://schemas.openxmlformats.org/officeDocument/2006/relationships/hyperlink" Target="https://apisidra.ibge.gov.br/values/t/6579/p/2016-2025/v/9324/n6/2304400" TargetMode="External"/><Relationship Id="rId517" Type="http://schemas.openxmlformats.org/officeDocument/2006/relationships/hyperlink" Target="https://apidatalake.tesouro.gov.br/ords/cdwhprd/siconfi/tt/dca?an_exercicio=2016&amp;id_ente=2307304&amp;no_anexo=DCA-Anexo+I-C" TargetMode="External"/><Relationship Id="rId559" Type="http://schemas.openxmlformats.org/officeDocument/2006/relationships/hyperlink" Target="https://apidatalake.tesouro.gov.br/ords/cdwhprd/siconfi/tt/rgf?an_exercicio=2019&amp;in_periodicidade=Q&amp;nr_periodo=3&amp;co_tipo_demonstrativo=RGF&amp;no_anexo=RGF-Anexo+01&amp;co_poder=E&amp;id_ente=2307304" TargetMode="External"/><Relationship Id="rId60" Type="http://schemas.openxmlformats.org/officeDocument/2006/relationships/hyperlink" Target="https://www.argentina.gob.ar/noticias/en-el-ano-2025-el-sector-publico-nacional-registro-un-superavit-financiero-de-1453819" TargetMode="External"/><Relationship Id="rId156" Type="http://schemas.openxmlformats.org/officeDocument/2006/relationships/hyperlink" Target="https://servicodados.ibge.gov.br/api/v3/agregados/1737/metadados" TargetMode="External"/><Relationship Id="rId198" Type="http://schemas.openxmlformats.org/officeDocument/2006/relationships/hyperlink" Target="https://servicodados.ibge.gov.br/api/v3/agregados/1737/metadados" TargetMode="External"/><Relationship Id="rId321" Type="http://schemas.openxmlformats.org/officeDocument/2006/relationships/hyperlink" Target="https://apidatalake.tesouro.gov.br/ords/cdwhprd/siconfi/tt/dca?an_exercicio=2017&amp;id_ente=2304400&amp;no_anexo=DCA-Anexo+I-D" TargetMode="External"/><Relationship Id="rId363" Type="http://schemas.openxmlformats.org/officeDocument/2006/relationships/hyperlink" Target="https://apisidra.ibge.gov.br/values/t/6579/p/2016-2025/v/9324/n6/2304400" TargetMode="External"/><Relationship Id="rId419" Type="http://schemas.openxmlformats.org/officeDocument/2006/relationships/hyperlink" Target="https://apidatalake.tesouro.gov.br/ords/cdwhprd/siconfi/tt/rgf?an_exercicio=2023&amp;in_periodicidade=Q&amp;nr_periodo=3&amp;co_tipo_demonstrativo=RGF&amp;no_anexo=RGF-Anexo+01&amp;co_poder=E&amp;id_ente=2304400" TargetMode="External"/><Relationship Id="rId570" Type="http://schemas.openxmlformats.org/officeDocument/2006/relationships/hyperlink" Target="https://apidatalake.tesouro.gov.br/ords/cdwhprd/siconfi/tt/dca?an_exercicio=2019&amp;id_ente=2307304&amp;no_anexo=DCA-Anexo+I-C" TargetMode="External"/><Relationship Id="rId626" Type="http://schemas.openxmlformats.org/officeDocument/2006/relationships/hyperlink" Target="https://apidatalake.tesouro.gov.br/ords/cdwhprd/siconfi/tt/dca?an_exercicio=2023&amp;id_ente=2307304&amp;no_anexo=DCA-Anexo+I-D" TargetMode="External"/><Relationship Id="rId223" Type="http://schemas.openxmlformats.org/officeDocument/2006/relationships/hyperlink" Target="https://servicodados.ibge.gov.br/api/v3/agregados/1737/metadados" TargetMode="External"/><Relationship Id="rId430" Type="http://schemas.openxmlformats.org/officeDocument/2006/relationships/hyperlink" Target="https://ftp.ibge.gov.br/Pib_Municipios/2022_2023/base/base_de_dados_2010_2023_xlsx.zip" TargetMode="External"/><Relationship Id="rId668" Type="http://schemas.openxmlformats.org/officeDocument/2006/relationships/hyperlink" Target="https://apidatalake.tesouro.gov.br/ords/cdwhprd/siconfi/tt/dca?an_exercicio=2025&amp;id_ente=2307304&amp;no_anexo=DCA-Anexo+I-C" TargetMode="External"/><Relationship Id="rId18" Type="http://schemas.openxmlformats.org/officeDocument/2006/relationships/hyperlink" Target="https://www.imf.org/external/datamapper/api/v2/GGXWDG_NGDP/ARG?periods=2016,2017,2018,2019,2020,2021,2022,2023,2024,2025" TargetMode="External"/><Relationship Id="rId39" Type="http://schemas.openxmlformats.org/officeDocument/2006/relationships/hyperlink" Target="https://www.imf.org/external/datamapper/api/v2/NGDPD/ARG?periods=2016,2017,2018,2019,2020,2021,2022,2023,2024,2025" TargetMode="External"/><Relationship Id="rId265" Type="http://schemas.openxmlformats.org/officeDocument/2006/relationships/hyperlink" Target="https://download.inep.gov.br/ideb/resultados/divulgacao_anos_finais_municipios_2025.zip" TargetMode="External"/><Relationship Id="rId286" Type="http://schemas.openxmlformats.org/officeDocument/2006/relationships/hyperlink" Target="https://ftp.ibge.gov.br/Pib_Municipios/2022_2023/base/base_de_dados_2010_2023_xlsx.zip" TargetMode="External"/><Relationship Id="rId451" Type="http://schemas.openxmlformats.org/officeDocument/2006/relationships/hyperlink" Target="https://apidatalake.tesouro.gov.br/ords/cdwhprd/siconfi/tt/rgf?an_exercicio=2025&amp;in_periodicidade=Q&amp;nr_periodo=3&amp;co_tipo_demonstrativo=RGF&amp;no_anexo=RGF-Anexo+01&amp;co_poder=E&amp;id_ente=2304400" TargetMode="External"/><Relationship Id="rId472" Type="http://schemas.openxmlformats.org/officeDocument/2006/relationships/hyperlink" Target="https://download.inep.gov.br/ideb/resultados/divulgacao_anos_finais_municipios_2025.zip" TargetMode="External"/><Relationship Id="rId493" Type="http://schemas.openxmlformats.org/officeDocument/2006/relationships/hyperlink" Target="https://download.inep.gov.br/ideb/resultados/divulgacao_anos_iniciais_municipios_2025.zip" TargetMode="External"/><Relationship Id="rId507" Type="http://schemas.openxmlformats.org/officeDocument/2006/relationships/hyperlink" Target="https://apidatalake.tesouro.gov.br/ords/cdwhprd/siconfi/tt/dca?an_exercicio=2016&amp;id_ente=2307304&amp;no_anexo=DCA-Anexo+I-D" TargetMode="External"/><Relationship Id="rId528" Type="http://schemas.openxmlformats.org/officeDocument/2006/relationships/hyperlink" Target="https://download.inep.gov.br/ideb/resultados/divulgacao_anos_finais_municipios_2025.zip" TargetMode="External"/><Relationship Id="rId549" Type="http://schemas.openxmlformats.org/officeDocument/2006/relationships/hyperlink" Target="https://apidatalake.tesouro.gov.br/ords/cdwhprd/siconfi/tt/rgf?an_exercicio=2018&amp;in_periodicidade=Q&amp;nr_periodo=3&amp;co_tipo_demonstrativo=RGF&amp;no_anexo=RGF-Anexo+01&amp;co_poder=E&amp;id_ente=2307304" TargetMode="External"/><Relationship Id="rId50" Type="http://schemas.openxmlformats.org/officeDocument/2006/relationships/hyperlink" Target="https://www.imf.org/external/datamapper/api/v2/PCPIPCH/ARG?periods=2016,2017,2018,2019,2020,2021,2022,2023,2024,2025" TargetMode="External"/><Relationship Id="rId104" Type="http://schemas.openxmlformats.org/officeDocument/2006/relationships/hyperlink" Target="https://www.imf.org/external/datamapper/api/v2/GGXCNL_G01_GDP_PT/ARG?periods=2016,2017,2018,2019,2020,2021,2022,2023,2024,2025" TargetMode="External"/><Relationship Id="rId125" Type="http://schemas.openxmlformats.org/officeDocument/2006/relationships/hyperlink" Target="https://servicodados.ibge.gov.br/api/v3/agregados/1737/metadados" TargetMode="External"/><Relationship Id="rId146" Type="http://schemas.openxmlformats.org/officeDocument/2006/relationships/hyperlink" Target="https://servicodados.ibge.gov.br/api/v3/agregados/1737/metadados" TargetMode="External"/><Relationship Id="rId167" Type="http://schemas.openxmlformats.org/officeDocument/2006/relationships/hyperlink" Target="https://servicodados.ibge.gov.br/api/v3/agregados/1737/metadados" TargetMode="External"/><Relationship Id="rId188" Type="http://schemas.openxmlformats.org/officeDocument/2006/relationships/hyperlink" Target="https://servicodados.ibge.gov.br/api/v3/agregados/1737/metadados" TargetMode="External"/><Relationship Id="rId311" Type="http://schemas.openxmlformats.org/officeDocument/2006/relationships/hyperlink" Target="https://apidatalake.tesouro.gov.br/ords/cdwhprd/siconfi/tt/rgf?an_exercicio=2016&amp;in_periodicidade=Q&amp;nr_periodo=3&amp;co_tipo_demonstrativo=RGF&amp;no_anexo=RGF-Anexo+01&amp;co_poder=E&amp;id_ente=2304400" TargetMode="External"/><Relationship Id="rId332" Type="http://schemas.openxmlformats.org/officeDocument/2006/relationships/hyperlink" Target="https://apidatalake.tesouro.gov.br/ords/cdwhprd/siconfi/tt/dca?an_exercicio=2017&amp;id_ente=2304400&amp;no_anexo=DCA-Anexo+I-C" TargetMode="External"/><Relationship Id="rId353" Type="http://schemas.openxmlformats.org/officeDocument/2006/relationships/hyperlink" Target="https://apidatalake.tesouro.gov.br/ords/cdwhprd/siconfi/tt/dca?an_exercicio=2019&amp;id_ente=2304400&amp;no_anexo=DCA-Anexo+I-D" TargetMode="External"/><Relationship Id="rId374" Type="http://schemas.openxmlformats.org/officeDocument/2006/relationships/hyperlink" Target="https://apidatalake.tesouro.gov.br/ords/cdwhprd/siconfi/tt/dca?an_exercicio=2020&amp;id_ente=2304400&amp;no_anexo=DCA-Anexo+I-D" TargetMode="External"/><Relationship Id="rId395" Type="http://schemas.openxmlformats.org/officeDocument/2006/relationships/hyperlink" Target="https://ftp.ibge.gov.br/Pib_Municipios/2022_2023/base/base_de_dados_2010_2023_xlsx.zip" TargetMode="External"/><Relationship Id="rId409" Type="http://schemas.openxmlformats.org/officeDocument/2006/relationships/hyperlink" Target="https://apidatalake.tesouro.gov.br/ords/cdwhprd/siconfi/tt/rgf?an_exercicio=2022&amp;in_periodicidade=Q&amp;nr_periodo=3&amp;co_tipo_demonstrativo=RGF&amp;no_anexo=RGF-Anexo+01&amp;co_poder=E&amp;id_ente=2304400" TargetMode="External"/><Relationship Id="rId560" Type="http://schemas.openxmlformats.org/officeDocument/2006/relationships/hyperlink" Target="https://download.inep.gov.br/ideb/resultados/divulgacao_anos_finais_municipios_2025.zip" TargetMode="External"/><Relationship Id="rId581" Type="http://schemas.openxmlformats.org/officeDocument/2006/relationships/hyperlink" Target="https://apisidra.ibge.gov.br/values/t/6579/p/2016-2025/v/9324/n6/2307304" TargetMode="External"/><Relationship Id="rId71" Type="http://schemas.openxmlformats.org/officeDocument/2006/relationships/hyperlink" Target="https://www.argentina.gob.ar/noticias/en-el-ano-2025-el-sector-publico-nacional-registro-un-superavit-financiero-de-1453819" TargetMode="External"/><Relationship Id="rId92" Type="http://schemas.openxmlformats.org/officeDocument/2006/relationships/hyperlink" Target="https://www.imf.org/external/datamapper/api/v2/GGXCNL_G01_GDP_PT/ARG?periods=2016,2017,2018,2019,2020,2021,2022,2023,2024,2025" TargetMode="External"/><Relationship Id="rId213" Type="http://schemas.openxmlformats.org/officeDocument/2006/relationships/hyperlink" Target="https://servicodados.ibge.gov.br/api/v3/agregados/1737/metadados" TargetMode="External"/><Relationship Id="rId234" Type="http://schemas.openxmlformats.org/officeDocument/2006/relationships/hyperlink" Target="https://servicodados.ibge.gov.br/api/v3/agregados/1737/metadados" TargetMode="External"/><Relationship Id="rId420" Type="http://schemas.openxmlformats.org/officeDocument/2006/relationships/hyperlink" Target="https://apidatalake.tesouro.gov.br/ords/cdwhprd/siconfi/tt/dca?an_exercicio=2023&amp;id_ente=2304400&amp;no_anexo=DCA-Anexo+I-C" TargetMode="External"/><Relationship Id="rId616" Type="http://schemas.openxmlformats.org/officeDocument/2006/relationships/hyperlink" Target="https://apidatalake.tesouro.gov.br/ords/cdwhprd/siconfi/tt/rgf?an_exercicio=2022&amp;in_periodicidade=Q&amp;nr_periodo=3&amp;co_tipo_demonstrativo=RGF&amp;no_anexo=RGF-Anexo+01&amp;co_poder=E&amp;id_ente=2307304" TargetMode="External"/><Relationship Id="rId637" Type="http://schemas.openxmlformats.org/officeDocument/2006/relationships/hyperlink" Target="https://apidatalake.tesouro.gov.br/ords/cdwhprd/siconfi/tt/dca?an_exercicio=2023&amp;id_ente=2307304&amp;no_anexo=DCA-Anexo+I-C" TargetMode="External"/><Relationship Id="rId658" Type="http://schemas.openxmlformats.org/officeDocument/2006/relationships/hyperlink" Target="https://apidatalake.tesouro.gov.br/ords/cdwhprd/siconfi/tt/dca?an_exercicio=2025&amp;id_ente=2307304&amp;no_anexo=DCA-Anexo+I-D" TargetMode="External"/><Relationship Id="rId2" Type="http://schemas.openxmlformats.org/officeDocument/2006/relationships/hyperlink" Target="https://www.imf.org/external/datamapper/api/v2/PCPIPCH/ARG?periods=2016,2017,2018,2019,2020,2021,2022,2023,2024,2025" TargetMode="External"/><Relationship Id="rId29" Type="http://schemas.openxmlformats.org/officeDocument/2006/relationships/hyperlink" Target="https://www.imf.org/external/datamapper/api/v2/exp/ARG?periods=2016,2017,2018,2019,2020,2021,2022,2023,2024,2025" TargetMode="External"/><Relationship Id="rId255" Type="http://schemas.openxmlformats.org/officeDocument/2006/relationships/hyperlink" Target="https://servicodados.ibge.gov.br/api/v3/agregados/1737/metadados" TargetMode="External"/><Relationship Id="rId276" Type="http://schemas.openxmlformats.org/officeDocument/2006/relationships/hyperlink" Target="https://download.inep.gov.br/ideb/resultados/divulgacao_anos_iniciais_municipios_2025.zip" TargetMode="External"/><Relationship Id="rId297" Type="http://schemas.openxmlformats.org/officeDocument/2006/relationships/hyperlink" Target="https://download.inep.gov.br/ideb/resultados/divulgacao_anos_finais_municipios_2025.zip" TargetMode="External"/><Relationship Id="rId441" Type="http://schemas.openxmlformats.org/officeDocument/2006/relationships/hyperlink" Target="https://apidatalake.tesouro.gov.br/ords/cdwhprd/siconfi/tt/dca?an_exercicio=2024&amp;id_ente=2304400&amp;no_anexo=DCA-Anexo+I-D" TargetMode="External"/><Relationship Id="rId462" Type="http://schemas.openxmlformats.org/officeDocument/2006/relationships/hyperlink" Target="https://apidatalake.tesouro.gov.br/ords/cdwhprd/siconfi/tt/rgf?an_exercicio=2025&amp;in_periodicidade=Q&amp;nr_periodo=3&amp;co_tipo_demonstrativo=RGF&amp;no_anexo=RGF-Anexo+01&amp;co_poder=E&amp;id_ente=2304400" TargetMode="External"/><Relationship Id="rId483" Type="http://schemas.openxmlformats.org/officeDocument/2006/relationships/hyperlink" Target="https://download.inep.gov.br/ideb/resultados/divulgacao_anos_iniciais_municipios_2025.zip" TargetMode="External"/><Relationship Id="rId518" Type="http://schemas.openxmlformats.org/officeDocument/2006/relationships/hyperlink" Target="https://apidatalake.tesouro.gov.br/ords/cdwhprd/siconfi/tt/dca?an_exercicio=2016&amp;id_ente=2307304&amp;no_anexo=DCA-Anexo+I-C" TargetMode="External"/><Relationship Id="rId539" Type="http://schemas.openxmlformats.org/officeDocument/2006/relationships/hyperlink" Target="https://apidatalake.tesouro.gov.br/ords/cdwhprd/siconfi/tt/rgf?an_exercicio=2018&amp;in_periodicidade=Q&amp;nr_periodo=3&amp;co_tipo_demonstrativo=RGF&amp;no_anexo=RGF-Anexo+01&amp;co_poder=E&amp;id_ente=2307304" TargetMode="External"/><Relationship Id="rId40" Type="http://schemas.openxmlformats.org/officeDocument/2006/relationships/hyperlink" Target="https://www.imf.org/external/datamapper/api/v2/NGDP_RPCH/ARG?periods=2016,2017,2018,2019,2020,2021,2022,2023,2024,2025" TargetMode="External"/><Relationship Id="rId115" Type="http://schemas.openxmlformats.org/officeDocument/2006/relationships/hyperlink" Target="https://www.argentina.gob.ar/noticias/en-el-ano-2025-el-sector-publico-nacional-registro-un-superavit-financiero-de-1453819" TargetMode="External"/><Relationship Id="rId136" Type="http://schemas.openxmlformats.org/officeDocument/2006/relationships/hyperlink" Target="https://servicodados.ibge.gov.br/api/v3/agregados/1737/metadados" TargetMode="External"/><Relationship Id="rId157" Type="http://schemas.openxmlformats.org/officeDocument/2006/relationships/hyperlink" Target="https://servicodados.ibge.gov.br/api/v3/agregados/1737/metadados" TargetMode="External"/><Relationship Id="rId178" Type="http://schemas.openxmlformats.org/officeDocument/2006/relationships/hyperlink" Target="https://servicodados.ibge.gov.br/api/v3/agregados/1737/metadados" TargetMode="External"/><Relationship Id="rId301" Type="http://schemas.openxmlformats.org/officeDocument/2006/relationships/hyperlink" Target="https://apidatalake.tesouro.gov.br/ords/cdwhprd/siconfi/tt/dca?an_exercicio=2016&amp;id_ente=2304400&amp;no_anexo=DCA-Anexo+I-C" TargetMode="External"/><Relationship Id="rId322" Type="http://schemas.openxmlformats.org/officeDocument/2006/relationships/hyperlink" Target="https://apidatalake.tesouro.gov.br/ords/cdwhprd/siconfi/tt/rgf?an_exercicio=2017&amp;in_periodicidade=Q&amp;nr_periodo=3&amp;co_tipo_demonstrativo=RGF&amp;no_anexo=RGF-Anexo+01&amp;co_poder=E&amp;id_ente=2304400" TargetMode="External"/><Relationship Id="rId343" Type="http://schemas.openxmlformats.org/officeDocument/2006/relationships/hyperlink" Target="https://ftp.ibge.gov.br/Pib_Municipios/2022_2023/base/base_de_dados_2010_2023_xlsx.zip" TargetMode="External"/><Relationship Id="rId364" Type="http://schemas.openxmlformats.org/officeDocument/2006/relationships/hyperlink" Target="https://apidatalake.tesouro.gov.br/ords/cdwhprd/siconfi/tt/rgf?an_exercicio=2019&amp;in_periodicidade=Q&amp;nr_periodo=3&amp;co_tipo_demonstrativo=RGF&amp;no_anexo=RGF-Anexo+01&amp;co_poder=E&amp;id_ente=2304400" TargetMode="External"/><Relationship Id="rId550" Type="http://schemas.openxmlformats.org/officeDocument/2006/relationships/hyperlink" Target="https://apidatalake.tesouro.gov.br/ords/cdwhprd/siconfi/tt/dca?an_exercicio=2018&amp;id_ente=2307304&amp;no_anexo=DCA-Anexo+I-C" TargetMode="External"/><Relationship Id="rId61" Type="http://schemas.openxmlformats.org/officeDocument/2006/relationships/hyperlink" Target="https://contenidos.afip.gob.ar/institucional/estudios/archivos/serie2021.xls" TargetMode="External"/><Relationship Id="rId82" Type="http://schemas.openxmlformats.org/officeDocument/2006/relationships/hyperlink" Target="https://www.argentina.gob.ar/sites/default/files/serie_ron_2003_2025.csv" TargetMode="External"/><Relationship Id="rId199" Type="http://schemas.openxmlformats.org/officeDocument/2006/relationships/hyperlink" Target="https://servicodados.ibge.gov.br/api/v3/agregados/1737/metadados" TargetMode="External"/><Relationship Id="rId203" Type="http://schemas.openxmlformats.org/officeDocument/2006/relationships/hyperlink" Target="https://servicodados.ibge.gov.br/api/v3/agregados/1737/metadados" TargetMode="External"/><Relationship Id="rId385" Type="http://schemas.openxmlformats.org/officeDocument/2006/relationships/hyperlink" Target="https://apidatalake.tesouro.gov.br/ords/cdwhprd/siconfi/tt/rgf?an_exercicio=2021&amp;in_periodicidade=Q&amp;nr_periodo=3&amp;co_tipo_demonstrativo=RGF&amp;no_anexo=RGF-Anexo+01&amp;co_poder=E&amp;id_ente=2304400" TargetMode="External"/><Relationship Id="rId571" Type="http://schemas.openxmlformats.org/officeDocument/2006/relationships/hyperlink" Target="https://apidatalake.tesouro.gov.br/ords/cdwhprd/siconfi/tt/dca?an_exercicio=2019&amp;id_ente=2307304&amp;no_anexo=DCA-Anexo+I-C" TargetMode="External"/><Relationship Id="rId592" Type="http://schemas.openxmlformats.org/officeDocument/2006/relationships/hyperlink" Target="https://apidatalake.tesouro.gov.br/ords/cdwhprd/siconfi/tt/dca?an_exercicio=2021&amp;id_ente=2307304&amp;no_anexo=DCA-Anexo+I-D" TargetMode="External"/><Relationship Id="rId606" Type="http://schemas.openxmlformats.org/officeDocument/2006/relationships/hyperlink" Target="https://apidatalake.tesouro.gov.br/ords/cdwhprd/siconfi/tt/dca?an_exercicio=2022&amp;id_ente=2307304&amp;no_anexo=DCA-Anexo+I-C" TargetMode="External"/><Relationship Id="rId627" Type="http://schemas.openxmlformats.org/officeDocument/2006/relationships/hyperlink" Target="https://apidatalake.tesouro.gov.br/ords/cdwhprd/siconfi/tt/rgf?an_exercicio=2023&amp;in_periodicidade=Q&amp;nr_periodo=3&amp;co_tipo_demonstrativo=RGF&amp;no_anexo=RGF-Anexo+01&amp;co_poder=E&amp;id_ente=2307304" TargetMode="External"/><Relationship Id="rId648" Type="http://schemas.openxmlformats.org/officeDocument/2006/relationships/hyperlink" Target="https://apidatalake.tesouro.gov.br/ords/cdwhprd/siconfi/tt/rgf?an_exercicio=2024&amp;in_periodicidade=Q&amp;nr_periodo=3&amp;co_tipo_demonstrativo=RGF&amp;no_anexo=RGF-Anexo+01&amp;co_poder=E&amp;id_ente=2307304" TargetMode="External"/><Relationship Id="rId669" Type="http://schemas.openxmlformats.org/officeDocument/2006/relationships/hyperlink" Target="https://apidatalake.tesouro.gov.br/ords/cdwhprd/siconfi/tt/dca?an_exercicio=2025&amp;id_ente=2307304&amp;no_anexo=DCA-Anexo+I-C" TargetMode="External"/><Relationship Id="rId19" Type="http://schemas.openxmlformats.org/officeDocument/2006/relationships/hyperlink" Target="https://www.argentina.gob.ar/noticias/en-el-ano-2025-el-sector-publico-nacional-registro-un-superavit-financiero-de-1453819" TargetMode="External"/><Relationship Id="rId224" Type="http://schemas.openxmlformats.org/officeDocument/2006/relationships/hyperlink" Target="https://servicodados.ibge.gov.br/api/v3/agregados/1737/metadados" TargetMode="External"/><Relationship Id="rId245" Type="http://schemas.openxmlformats.org/officeDocument/2006/relationships/hyperlink" Target="https://servicodados.ibge.gov.br/api/v3/agregados/1737/metadados" TargetMode="External"/><Relationship Id="rId266" Type="http://schemas.openxmlformats.org/officeDocument/2006/relationships/hyperlink" Target="https://download.inep.gov.br/ideb/resultados/divulgacao_anos_iniciais_municipios_2025.zip" TargetMode="External"/><Relationship Id="rId287" Type="http://schemas.openxmlformats.org/officeDocument/2006/relationships/hyperlink" Target="https://download.inep.gov.br/ideb/resultados/divulgacao_anos_finais_municipios_2025.zip" TargetMode="External"/><Relationship Id="rId410" Type="http://schemas.openxmlformats.org/officeDocument/2006/relationships/hyperlink" Target="https://ftp.ibge.gov.br/Pib_Municipios/2022_2023/base/base_de_dados_2010_2023_xlsx.zip" TargetMode="External"/><Relationship Id="rId431" Type="http://schemas.openxmlformats.org/officeDocument/2006/relationships/hyperlink" Target="https://apisidra.ibge.gov.br/values/t/6579/p/2016-2025/v/9324/n6/2304400" TargetMode="External"/><Relationship Id="rId452" Type="http://schemas.openxmlformats.org/officeDocument/2006/relationships/hyperlink" Target="https://apidatalake.tesouro.gov.br/ords/cdwhprd/siconfi/tt/dca?an_exercicio=2025&amp;id_ente=2304400&amp;no_anexo=DCA-Anexo+I-C" TargetMode="External"/><Relationship Id="rId473" Type="http://schemas.openxmlformats.org/officeDocument/2006/relationships/hyperlink" Target="https://download.inep.gov.br/ideb/resultados/divulgacao_anos_iniciais_municipios_2025.zip" TargetMode="External"/><Relationship Id="rId494" Type="http://schemas.openxmlformats.org/officeDocument/2006/relationships/hyperlink" Target="https://ftp.ibge.gov.br/Pib_Municipios/2022_2023/base/base_de_dados_2010_2023_xlsx.zip" TargetMode="External"/><Relationship Id="rId508" Type="http://schemas.openxmlformats.org/officeDocument/2006/relationships/hyperlink" Target="https://apidatalake.tesouro.gov.br/ords/cdwhprd/siconfi/tt/dca?an_exercicio=2016&amp;id_ente=2307304&amp;no_anexo=DCA-Anexo+I-D" TargetMode="External"/><Relationship Id="rId529" Type="http://schemas.openxmlformats.org/officeDocument/2006/relationships/hyperlink" Target="https://download.inep.gov.br/ideb/resultados/divulgacao_anos_iniciais_municipios_2025.zip" TargetMode="External"/><Relationship Id="rId30" Type="http://schemas.openxmlformats.org/officeDocument/2006/relationships/hyperlink" Target="https://www.imf.org/external/datamapper/api/v2/GGXWDG_NGDP/ARG?periods=2016,2017,2018,2019,2020,2021,2022,2023,2024,2025" TargetMode="External"/><Relationship Id="rId105" Type="http://schemas.openxmlformats.org/officeDocument/2006/relationships/hyperlink" Target="https://www.imf.org/external/datamapper/api/v2/LP/ARG?periods=2016,2017,2018,2019,2020,2021,2022,2023,2024,2025" TargetMode="External"/><Relationship Id="rId126" Type="http://schemas.openxmlformats.org/officeDocument/2006/relationships/hyperlink" Target="https://servicodados.ibge.gov.br/api/v3/agregados/1737/metadados" TargetMode="External"/><Relationship Id="rId147" Type="http://schemas.openxmlformats.org/officeDocument/2006/relationships/hyperlink" Target="https://servicodados.ibge.gov.br/api/v3/agregados/1737/metadados" TargetMode="External"/><Relationship Id="rId168" Type="http://schemas.openxmlformats.org/officeDocument/2006/relationships/hyperlink" Target="https://servicodados.ibge.gov.br/api/v3/agregados/1737/metadados" TargetMode="External"/><Relationship Id="rId312" Type="http://schemas.openxmlformats.org/officeDocument/2006/relationships/hyperlink" Target="https://apidatalake.tesouro.gov.br/ords/cdwhprd/siconfi/tt/rgf?an_exercicio=2016&amp;in_periodicidade=Q&amp;nr_periodo=3&amp;co_tipo_demonstrativo=RGF&amp;no_anexo=RGF-Anexo+01&amp;co_poder=E&amp;id_ente=2304400" TargetMode="External"/><Relationship Id="rId333" Type="http://schemas.openxmlformats.org/officeDocument/2006/relationships/hyperlink" Target="https://apidatalake.tesouro.gov.br/ords/cdwhprd/siconfi/tt/dca?an_exercicio=2017&amp;id_ente=2304400&amp;no_anexo=DCA-Anexo+I-C" TargetMode="External"/><Relationship Id="rId354" Type="http://schemas.openxmlformats.org/officeDocument/2006/relationships/hyperlink" Target="https://apidatalake.tesouro.gov.br/ords/cdwhprd/siconfi/tt/dca?an_exercicio=2019&amp;id_ente=2304400&amp;no_anexo=DCA-Anexo+I-D" TargetMode="External"/><Relationship Id="rId540" Type="http://schemas.openxmlformats.org/officeDocument/2006/relationships/hyperlink" Target="https://apidatalake.tesouro.gov.br/ords/cdwhprd/siconfi/tt/dca?an_exercicio=2018&amp;id_ente=2307304&amp;no_anexo=DCA-Anexo+I-C" TargetMode="External"/><Relationship Id="rId51" Type="http://schemas.openxmlformats.org/officeDocument/2006/relationships/hyperlink" Target="https://www.imf.org/external/datamapper/api/v2/NGDPD/ARG?periods=2016,2017,2018,2019,2020,2021,2022,2023,2024,2025" TargetMode="External"/><Relationship Id="rId72" Type="http://schemas.openxmlformats.org/officeDocument/2006/relationships/hyperlink" Target="https://www.argentina.gob.ar/noticias/en-el-ano-2025-el-sector-publico-nacional-registro-un-superavit-financiero-de-1453819" TargetMode="External"/><Relationship Id="rId93" Type="http://schemas.openxmlformats.org/officeDocument/2006/relationships/hyperlink" Target="https://www.imf.org/external/datamapper/api/v2/LP/ARG?periods=2016,2017,2018,2019,2020,2021,2022,2023,2024,2025" TargetMode="External"/><Relationship Id="rId189" Type="http://schemas.openxmlformats.org/officeDocument/2006/relationships/hyperlink" Target="https://servicodados.ibge.gov.br/api/v3/agregados/1737/metadados" TargetMode="External"/><Relationship Id="rId375" Type="http://schemas.openxmlformats.org/officeDocument/2006/relationships/hyperlink" Target="https://apidatalake.tesouro.gov.br/ords/cdwhprd/siconfi/tt/rgf?an_exercicio=2020&amp;in_periodicidade=Q&amp;nr_periodo=3&amp;co_tipo_demonstrativo=RGF&amp;no_anexo=RGF-Anexo+01&amp;co_poder=E&amp;id_ente=2304400" TargetMode="External"/><Relationship Id="rId396" Type="http://schemas.openxmlformats.org/officeDocument/2006/relationships/hyperlink" Target="https://ftp.ibge.gov.br/Pib_Municipios/2022_2023/base/base_de_dados_2010_2023_xlsx.zip" TargetMode="External"/><Relationship Id="rId561" Type="http://schemas.openxmlformats.org/officeDocument/2006/relationships/hyperlink" Target="https://download.inep.gov.br/ideb/resultados/divulgacao_anos_iniciais_municipios_2025.zip" TargetMode="External"/><Relationship Id="rId582" Type="http://schemas.openxmlformats.org/officeDocument/2006/relationships/hyperlink" Target="https://apidatalake.tesouro.gov.br/ords/cdwhprd/siconfi/tt/rgf?an_exercicio=2020&amp;in_periodicidade=Q&amp;nr_periodo=3&amp;co_tipo_demonstrativo=RGF&amp;no_anexo=RGF-Anexo+01&amp;co_poder=E&amp;id_ente=2307304" TargetMode="External"/><Relationship Id="rId617" Type="http://schemas.openxmlformats.org/officeDocument/2006/relationships/hyperlink" Target="https://apidatalake.tesouro.gov.br/ords/cdwhprd/siconfi/tt/rgf?an_exercicio=2022&amp;in_periodicidade=Q&amp;nr_periodo=3&amp;co_tipo_demonstrativo=RGF&amp;no_anexo=RGF-Anexo+01&amp;co_poder=E&amp;id_ente=2307304" TargetMode="External"/><Relationship Id="rId638" Type="http://schemas.openxmlformats.org/officeDocument/2006/relationships/hyperlink" Target="https://apidatalake.tesouro.gov.br/ords/cdwhprd/siconfi/tt/dca?an_exercicio=2023&amp;id_ente=2307304&amp;no_anexo=DCA-Anexo+I-C" TargetMode="External"/><Relationship Id="rId659" Type="http://schemas.openxmlformats.org/officeDocument/2006/relationships/hyperlink" Target="https://apidatalake.tesouro.gov.br/ords/cdwhprd/siconfi/tt/rgf?an_exercicio=2025&amp;in_periodicidade=Q&amp;nr_periodo=3&amp;co_tipo_demonstrativo=RGF&amp;no_anexo=RGF-Anexo+01&amp;co_poder=E&amp;id_ente=2307304" TargetMode="External"/><Relationship Id="rId3" Type="http://schemas.openxmlformats.org/officeDocument/2006/relationships/hyperlink" Target="https://www.imf.org/external/datamapper/api/v2/NGDPD/ARG?periods=2016,2017,2018,2019,2020,2021,2022,2023,2024,2025" TargetMode="External"/><Relationship Id="rId214" Type="http://schemas.openxmlformats.org/officeDocument/2006/relationships/hyperlink" Target="https://servicodados.ibge.gov.br/api/v3/agregados/1737/metadados" TargetMode="External"/><Relationship Id="rId235" Type="http://schemas.openxmlformats.org/officeDocument/2006/relationships/hyperlink" Target="https://servicodados.ibge.gov.br/api/v3/agregados/1737/metadados" TargetMode="External"/><Relationship Id="rId256" Type="http://schemas.openxmlformats.org/officeDocument/2006/relationships/hyperlink" Target="https://servicodados.ibge.gov.br/api/v3/agregados/1737/metadados" TargetMode="External"/><Relationship Id="rId277" Type="http://schemas.openxmlformats.org/officeDocument/2006/relationships/hyperlink" Target="https://ftp.ibge.gov.br/Pib_Municipios/2022_2023/base/base_de_dados_2010_2023_xlsx.zip" TargetMode="External"/><Relationship Id="rId298" Type="http://schemas.openxmlformats.org/officeDocument/2006/relationships/hyperlink" Target="https://download.inep.gov.br/ideb/resultados/divulgacao_anos_iniciais_municipios_2025.zip" TargetMode="External"/><Relationship Id="rId400" Type="http://schemas.openxmlformats.org/officeDocument/2006/relationships/hyperlink" Target="https://apidatalake.tesouro.gov.br/ords/cdwhprd/siconfi/tt/dca?an_exercicio=2021&amp;id_ente=2304400&amp;no_anexo=DCA-Anexo+I-C" TargetMode="External"/><Relationship Id="rId421" Type="http://schemas.openxmlformats.org/officeDocument/2006/relationships/hyperlink" Target="https://apidatalake.tesouro.gov.br/ords/cdwhprd/siconfi/tt/dca?an_exercicio=2023&amp;id_ente=2304400&amp;no_anexo=DCA-Anexo+I-D" TargetMode="External"/><Relationship Id="rId442" Type="http://schemas.openxmlformats.org/officeDocument/2006/relationships/hyperlink" Target="https://apidatalake.tesouro.gov.br/ords/cdwhprd/siconfi/tt/dca?an_exercicio=2024&amp;id_ente=2304400&amp;no_anexo=DCA-Anexo+I-D" TargetMode="External"/><Relationship Id="rId463" Type="http://schemas.openxmlformats.org/officeDocument/2006/relationships/hyperlink" Target="https://apidatalake.tesouro.gov.br/ords/cdwhprd/siconfi/tt/rgf?an_exercicio=2025&amp;in_periodicidade=Q&amp;nr_periodo=3&amp;co_tipo_demonstrativo=RGF&amp;no_anexo=RGF-Anexo+01&amp;co_poder=E&amp;id_ente=2304400" TargetMode="External"/><Relationship Id="rId484" Type="http://schemas.openxmlformats.org/officeDocument/2006/relationships/hyperlink" Target="https://download.inep.gov.br/ideb/resultados/divulgacao_anos_finais_municipios_2025.zip" TargetMode="External"/><Relationship Id="rId519" Type="http://schemas.openxmlformats.org/officeDocument/2006/relationships/hyperlink" Target="https://apidatalake.tesouro.gov.br/ords/cdwhprd/siconfi/tt/dca?an_exercicio=2017&amp;id_ente=2307304&amp;no_anexo=DCA-Anexo+I-C" TargetMode="External"/><Relationship Id="rId670" Type="http://schemas.openxmlformats.org/officeDocument/2006/relationships/hyperlink" Target="https://www.ibge.gov.br/cidades-e-estados/ce/juazeiro-do-norte.html" TargetMode="External"/><Relationship Id="rId116" Type="http://schemas.openxmlformats.org/officeDocument/2006/relationships/hyperlink" Target="https://www.imf.org/external/datamapper/api/v2/GGXCNL_G01_GDP_PT/ARG?periods=2016,2017,2018,2019,2020,2021,2022,2023,2024,2025" TargetMode="External"/><Relationship Id="rId137" Type="http://schemas.openxmlformats.org/officeDocument/2006/relationships/hyperlink" Target="https://servicodados.ibge.gov.br/api/v3/agregados/1737/metadados" TargetMode="External"/><Relationship Id="rId158" Type="http://schemas.openxmlformats.org/officeDocument/2006/relationships/hyperlink" Target="https://servicodados.ibge.gov.br/api/v3/agregados/1737/metadados" TargetMode="External"/><Relationship Id="rId302" Type="http://schemas.openxmlformats.org/officeDocument/2006/relationships/hyperlink" Target="https://apidatalake.tesouro.gov.br/ords/cdwhprd/siconfi/tt/rgf?an_exercicio=2016&amp;in_periodicidade=Q&amp;nr_periodo=3&amp;co_tipo_demonstrativo=RGF&amp;no_anexo=RGF-Anexo+01&amp;co_poder=E&amp;id_ente=2304400" TargetMode="External"/><Relationship Id="rId323" Type="http://schemas.openxmlformats.org/officeDocument/2006/relationships/hyperlink" Target="https://download.inep.gov.br/ideb/resultados/divulgacao_anos_finais_municipios_2025.zip" TargetMode="External"/><Relationship Id="rId344" Type="http://schemas.openxmlformats.org/officeDocument/2006/relationships/hyperlink" Target="https://apisidra.ibge.gov.br/values/t/6579/p/2016-2025/v/9324/n6/2304400" TargetMode="External"/><Relationship Id="rId530" Type="http://schemas.openxmlformats.org/officeDocument/2006/relationships/hyperlink" Target="https://ftp.ibge.gov.br/Pib_Municipios/2022_2023/base/base_de_dados_2010_2023_xlsx.zip" TargetMode="External"/><Relationship Id="rId20" Type="http://schemas.openxmlformats.org/officeDocument/2006/relationships/hyperlink" Target="https://www.imf.org/external/datamapper/api/v2/GGXCNL_G01_GDP_PT/ARG?periods=2016,2017,2018,2019,2020,2021,2022,2023,2024,2025" TargetMode="External"/><Relationship Id="rId41" Type="http://schemas.openxmlformats.org/officeDocument/2006/relationships/hyperlink" Target="https://www.imf.org/external/datamapper/api/v2/exp/ARG?periods=2016,2017,2018,2019,2020,2021,2022,2023,2024,2025" TargetMode="External"/><Relationship Id="rId62" Type="http://schemas.openxmlformats.org/officeDocument/2006/relationships/hyperlink" Target="https://www.imf.org/external/datamapper/api/v2/PCPIPCH/ARG?periods=2016,2017,2018,2019,2020,2021,2022,2023,2024,2025" TargetMode="External"/><Relationship Id="rId83" Type="http://schemas.openxmlformats.org/officeDocument/2006/relationships/hyperlink" Target="https://www.argentina.gob.ar/noticias/en-el-ano-2025-el-sector-publico-nacional-registro-un-superavit-financiero-de-1453819" TargetMode="External"/><Relationship Id="rId179" Type="http://schemas.openxmlformats.org/officeDocument/2006/relationships/hyperlink" Target="https://servicodados.ibge.gov.br/api/v3/agregados/1737/metadados" TargetMode="External"/><Relationship Id="rId365" Type="http://schemas.openxmlformats.org/officeDocument/2006/relationships/hyperlink" Target="https://apidatalake.tesouro.gov.br/ords/cdwhprd/siconfi/tt/rgf?an_exercicio=2019&amp;in_periodicidade=Q&amp;nr_periodo=3&amp;co_tipo_demonstrativo=RGF&amp;no_anexo=RGF-Anexo+01&amp;co_poder=E&amp;id_ente=2304400" TargetMode="External"/><Relationship Id="rId386" Type="http://schemas.openxmlformats.org/officeDocument/2006/relationships/hyperlink" Target="https://apidatalake.tesouro.gov.br/ords/cdwhprd/siconfi/tt/dca?an_exercicio=2021&amp;id_ente=2304400&amp;no_anexo=DCA-Anexo+I-C" TargetMode="External"/><Relationship Id="rId551" Type="http://schemas.openxmlformats.org/officeDocument/2006/relationships/hyperlink" Target="https://apidatalake.tesouro.gov.br/ords/cdwhprd/siconfi/tt/dca?an_exercicio=2018&amp;id_ente=2307304&amp;no_anexo=DCA-Anexo+I-C" TargetMode="External"/><Relationship Id="rId572" Type="http://schemas.openxmlformats.org/officeDocument/2006/relationships/hyperlink" Target="https://apidatalake.tesouro.gov.br/ords/cdwhprd/siconfi/tt/dca?an_exercicio=2020&amp;id_ente=2307304&amp;no_anexo=DCA-Anexo+I-C" TargetMode="External"/><Relationship Id="rId593" Type="http://schemas.openxmlformats.org/officeDocument/2006/relationships/hyperlink" Target="https://apidatalake.tesouro.gov.br/ords/cdwhprd/siconfi/tt/rgf?an_exercicio=2021&amp;in_periodicidade=Q&amp;nr_periodo=3&amp;co_tipo_demonstrativo=RGF&amp;no_anexo=RGF-Anexo+01&amp;co_poder=E&amp;id_ente=2307304" TargetMode="External"/><Relationship Id="rId607" Type="http://schemas.openxmlformats.org/officeDocument/2006/relationships/hyperlink" Target="https://apidatalake.tesouro.gov.br/ords/cdwhprd/siconfi/tt/rgf?an_exercicio=2022&amp;in_periodicidade=Q&amp;nr_periodo=3&amp;co_tipo_demonstrativo=RGF&amp;no_anexo=RGF-Anexo+01&amp;co_poder=E&amp;id_ente=2307304" TargetMode="External"/><Relationship Id="rId628" Type="http://schemas.openxmlformats.org/officeDocument/2006/relationships/hyperlink" Target="https://download.inep.gov.br/ideb/resultados/divulgacao_anos_finais_municipios_2025.zip" TargetMode="External"/><Relationship Id="rId649" Type="http://schemas.openxmlformats.org/officeDocument/2006/relationships/hyperlink" Target="https://apidatalake.tesouro.gov.br/ords/cdwhprd/siconfi/tt/rgf?an_exercicio=2024&amp;in_periodicidade=Q&amp;nr_periodo=3&amp;co_tipo_demonstrativo=RGF&amp;no_anexo=RGF-Anexo+01&amp;co_poder=E&amp;id_ente=2307304" TargetMode="External"/><Relationship Id="rId190" Type="http://schemas.openxmlformats.org/officeDocument/2006/relationships/hyperlink" Target="https://servicodados.ibge.gov.br/api/v3/agregados/1737/metadados" TargetMode="External"/><Relationship Id="rId204" Type="http://schemas.openxmlformats.org/officeDocument/2006/relationships/hyperlink" Target="https://servicodados.ibge.gov.br/api/v3/agregados/1737/metadados" TargetMode="External"/><Relationship Id="rId225" Type="http://schemas.openxmlformats.org/officeDocument/2006/relationships/hyperlink" Target="https://servicodados.ibge.gov.br/api/v3/agregados/1737/metadados" TargetMode="External"/><Relationship Id="rId246" Type="http://schemas.openxmlformats.org/officeDocument/2006/relationships/hyperlink" Target="https://servicodados.ibge.gov.br/api/v3/agregados/1737/metadados" TargetMode="External"/><Relationship Id="rId267" Type="http://schemas.openxmlformats.org/officeDocument/2006/relationships/hyperlink" Target="https://download.inep.gov.br/ideb/resultados/divulgacao_anos_finais_municipios_2025.zip" TargetMode="External"/><Relationship Id="rId288" Type="http://schemas.openxmlformats.org/officeDocument/2006/relationships/hyperlink" Target="https://download.inep.gov.br/ideb/resultados/divulgacao_anos_iniciais_municipios_2025.zip" TargetMode="External"/><Relationship Id="rId411" Type="http://schemas.openxmlformats.org/officeDocument/2006/relationships/hyperlink" Target="https://ftp.ibge.gov.br/Pib_Municipios/2022_2023/base/base_de_dados_2010_2023_xlsx.zip" TargetMode="External"/><Relationship Id="rId432" Type="http://schemas.openxmlformats.org/officeDocument/2006/relationships/hyperlink" Target="https://apidatalake.tesouro.gov.br/ords/cdwhprd/siconfi/tt/rgf?an_exercicio=2023&amp;in_periodicidade=Q&amp;nr_periodo=3&amp;co_tipo_demonstrativo=RGF&amp;no_anexo=RGF-Anexo+01&amp;co_poder=E&amp;id_ente=2304400" TargetMode="External"/><Relationship Id="rId453" Type="http://schemas.openxmlformats.org/officeDocument/2006/relationships/hyperlink" Target="https://apidatalake.tesouro.gov.br/ords/cdwhprd/siconfi/tt/dca?an_exercicio=2025&amp;id_ente=2304400&amp;no_anexo=DCA-Anexo+I-D" TargetMode="External"/><Relationship Id="rId474" Type="http://schemas.openxmlformats.org/officeDocument/2006/relationships/hyperlink" Target="https://download.inep.gov.br/ideb/resultados/divulgacao_anos_finais_municipios_2025.zip" TargetMode="External"/><Relationship Id="rId509" Type="http://schemas.openxmlformats.org/officeDocument/2006/relationships/hyperlink" Target="https://apidatalake.tesouro.gov.br/ords/cdwhprd/siconfi/tt/dca?an_exercicio=2016&amp;id_ente=2307304&amp;no_anexo=DCA-Anexo+I-D" TargetMode="External"/><Relationship Id="rId660" Type="http://schemas.openxmlformats.org/officeDocument/2006/relationships/hyperlink" Target="https://download.inep.gov.br/ideb/resultados/divulgacao_anos_finais_municipios_2025.zip" TargetMode="External"/><Relationship Id="rId106" Type="http://schemas.openxmlformats.org/officeDocument/2006/relationships/hyperlink" Target="https://www.argentina.gob.ar/sites/default/files/serie_ron_2003_2025.csv" TargetMode="External"/><Relationship Id="rId127" Type="http://schemas.openxmlformats.org/officeDocument/2006/relationships/hyperlink" Target="https://servicodados.ibge.gov.br/api/v3/agregados/1737/metadados" TargetMode="External"/><Relationship Id="rId313" Type="http://schemas.openxmlformats.org/officeDocument/2006/relationships/hyperlink" Target="https://apidatalake.tesouro.gov.br/ords/cdwhprd/siconfi/tt/dca?an_exercicio=2016&amp;id_ente=2304400&amp;no_anexo=DCA-Anexo+I-C" TargetMode="External"/><Relationship Id="rId495" Type="http://schemas.openxmlformats.org/officeDocument/2006/relationships/hyperlink" Target="https://ftp.ibge.gov.br/Pib_Municipios/2022_2023/base/base_de_dados_2010_2023_xlsx.zip" TargetMode="External"/><Relationship Id="rId10" Type="http://schemas.openxmlformats.org/officeDocument/2006/relationships/hyperlink" Target="https://www.argentina.gob.ar/sites/default/files/serie_ron_2003_2025.csv" TargetMode="External"/><Relationship Id="rId31" Type="http://schemas.openxmlformats.org/officeDocument/2006/relationships/hyperlink" Target="https://www.argentina.gob.ar/noticias/en-el-ano-2025-el-sector-publico-nacional-registro-un-superavit-financiero-de-1453819" TargetMode="External"/><Relationship Id="rId52" Type="http://schemas.openxmlformats.org/officeDocument/2006/relationships/hyperlink" Target="https://www.imf.org/external/datamapper/api/v2/NGDP_RPCH/ARG?periods=2016,2017,2018,2019,2020,2021,2022,2023,2024,2025" TargetMode="External"/><Relationship Id="rId73" Type="http://schemas.openxmlformats.org/officeDocument/2006/relationships/hyperlink" Target="https://contenidos.afip.gob.ar/institucional/estudios/archivos/serie2022.xls" TargetMode="External"/><Relationship Id="rId94" Type="http://schemas.openxmlformats.org/officeDocument/2006/relationships/hyperlink" Target="https://www.argentina.gob.ar/sites/default/files/serie_ron_2003_2025.csv" TargetMode="External"/><Relationship Id="rId148" Type="http://schemas.openxmlformats.org/officeDocument/2006/relationships/hyperlink" Target="https://servicodados.ibge.gov.br/api/v3/agregados/1737/metadados" TargetMode="External"/><Relationship Id="rId169" Type="http://schemas.openxmlformats.org/officeDocument/2006/relationships/hyperlink" Target="https://servicodados.ibge.gov.br/api/v3/agregados/1737/metadados" TargetMode="External"/><Relationship Id="rId334" Type="http://schemas.openxmlformats.org/officeDocument/2006/relationships/hyperlink" Target="https://apidatalake.tesouro.gov.br/ords/cdwhprd/siconfi/tt/dca?an_exercicio=2017&amp;id_ente=2304400&amp;no_anexo=DCA-Anexo+I-C" TargetMode="External"/><Relationship Id="rId355" Type="http://schemas.openxmlformats.org/officeDocument/2006/relationships/hyperlink" Target="https://apidatalake.tesouro.gov.br/ords/cdwhprd/siconfi/tt/dca?an_exercicio=2019&amp;id_ente=2304400&amp;no_anexo=DCA-Anexo+I-D" TargetMode="External"/><Relationship Id="rId376" Type="http://schemas.openxmlformats.org/officeDocument/2006/relationships/hyperlink" Target="https://ftp.ibge.gov.br/Pib_Municipios/2022_2023/base/base_de_dados_2010_2023_xlsx.zip" TargetMode="External"/><Relationship Id="rId397" Type="http://schemas.openxmlformats.org/officeDocument/2006/relationships/hyperlink" Target="https://apisidra.ibge.gov.br/values/t/6579/p/2016-2025/v/9324/n6/2304400" TargetMode="External"/><Relationship Id="rId520" Type="http://schemas.openxmlformats.org/officeDocument/2006/relationships/hyperlink" Target="https://apidatalake.tesouro.gov.br/ords/cdwhprd/siconfi/tt/rgf?an_exercicio=2017&amp;in_periodicidade=Q&amp;nr_periodo=3&amp;co_tipo_demonstrativo=RGF&amp;no_anexo=RGF-Anexo+01&amp;co_poder=E&amp;id_ente=2307304" TargetMode="External"/><Relationship Id="rId541" Type="http://schemas.openxmlformats.org/officeDocument/2006/relationships/hyperlink" Target="https://apidatalake.tesouro.gov.br/ords/cdwhprd/siconfi/tt/dca?an_exercicio=2018&amp;id_ente=2307304&amp;no_anexo=DCA-Anexo+I-D" TargetMode="External"/><Relationship Id="rId562" Type="http://schemas.openxmlformats.org/officeDocument/2006/relationships/hyperlink" Target="https://download.inep.gov.br/ideb/resultados/divulgacao_anos_finais_municipios_2025.zip" TargetMode="External"/><Relationship Id="rId583" Type="http://schemas.openxmlformats.org/officeDocument/2006/relationships/hyperlink" Target="https://apidatalake.tesouro.gov.br/ords/cdwhprd/siconfi/tt/rgf?an_exercicio=2020&amp;in_periodicidade=Q&amp;nr_periodo=3&amp;co_tipo_demonstrativo=RGF&amp;no_anexo=RGF-Anexo+01&amp;co_poder=E&amp;id_ente=2307304" TargetMode="External"/><Relationship Id="rId618" Type="http://schemas.openxmlformats.org/officeDocument/2006/relationships/hyperlink" Target="https://apidatalake.tesouro.gov.br/ords/cdwhprd/siconfi/tt/dca?an_exercicio=2022&amp;id_ente=2307304&amp;no_anexo=DCA-Anexo+I-C" TargetMode="External"/><Relationship Id="rId639" Type="http://schemas.openxmlformats.org/officeDocument/2006/relationships/hyperlink" Target="https://apidatalake.tesouro.gov.br/ords/cdwhprd/siconfi/tt/dca?an_exercicio=2023&amp;id_ente=2307304&amp;no_anexo=DCA-Anexo+I-C" TargetMode="External"/><Relationship Id="rId4" Type="http://schemas.openxmlformats.org/officeDocument/2006/relationships/hyperlink" Target="https://www.imf.org/external/datamapper/api/v2/NGDP_RPCH/ARG?periods=2016,2017,2018,2019,2020,2021,2022,2023,2024,2025" TargetMode="External"/><Relationship Id="rId180" Type="http://schemas.openxmlformats.org/officeDocument/2006/relationships/hyperlink" Target="https://servicodados.ibge.gov.br/api/v3/agregados/1737/metadados" TargetMode="External"/><Relationship Id="rId215" Type="http://schemas.openxmlformats.org/officeDocument/2006/relationships/hyperlink" Target="https://servicodados.ibge.gov.br/api/v3/agregados/1737/metadados" TargetMode="External"/><Relationship Id="rId236" Type="http://schemas.openxmlformats.org/officeDocument/2006/relationships/hyperlink" Target="https://servicodados.ibge.gov.br/api/v3/agregados/1737/metadados" TargetMode="External"/><Relationship Id="rId257" Type="http://schemas.openxmlformats.org/officeDocument/2006/relationships/hyperlink" Target="https://servicodados.ibge.gov.br/api/v3/agregados/1737/metadados" TargetMode="External"/><Relationship Id="rId278" Type="http://schemas.openxmlformats.org/officeDocument/2006/relationships/hyperlink" Target="https://ftp.ibge.gov.br/Pib_Municipios/2022_2023/base/base_de_dados_2010_2023_xlsx.zip" TargetMode="External"/><Relationship Id="rId401" Type="http://schemas.openxmlformats.org/officeDocument/2006/relationships/hyperlink" Target="https://apidatalake.tesouro.gov.br/ords/cdwhprd/siconfi/tt/dca?an_exercicio=2021&amp;id_ente=2304400&amp;no_anexo=DCA-Anexo+I-C" TargetMode="External"/><Relationship Id="rId422" Type="http://schemas.openxmlformats.org/officeDocument/2006/relationships/hyperlink" Target="https://apidatalake.tesouro.gov.br/ords/cdwhprd/siconfi/tt/dca?an_exercicio=2023&amp;id_ente=2304400&amp;no_anexo=DCA-Anexo+I-D" TargetMode="External"/><Relationship Id="rId443" Type="http://schemas.openxmlformats.org/officeDocument/2006/relationships/hyperlink" Target="https://apidatalake.tesouro.gov.br/ords/cdwhprd/siconfi/tt/rgf?an_exercicio=2024&amp;in_periodicidade=Q&amp;nr_periodo=3&amp;co_tipo_demonstrativo=RGF&amp;no_anexo=RGF-Anexo+01&amp;co_poder=E&amp;id_ente=2304400" TargetMode="External"/><Relationship Id="rId464" Type="http://schemas.openxmlformats.org/officeDocument/2006/relationships/hyperlink" Target="https://apidatalake.tesouro.gov.br/ords/cdwhprd/siconfi/tt/dca?an_exercicio=2025&amp;id_ente=2304400&amp;no_anexo=DCA-Anexo+I-C" TargetMode="External"/><Relationship Id="rId650" Type="http://schemas.openxmlformats.org/officeDocument/2006/relationships/hyperlink" Target="https://apidatalake.tesouro.gov.br/ords/cdwhprd/siconfi/tt/dca?an_exercicio=2024&amp;id_ente=2307304&amp;no_anexo=DCA-Anexo+I-C" TargetMode="External"/><Relationship Id="rId303" Type="http://schemas.openxmlformats.org/officeDocument/2006/relationships/hyperlink" Target="https://apidatalake.tesouro.gov.br/ords/cdwhprd/siconfi/tt/dca?an_exercicio=2016&amp;id_ente=2304400&amp;no_anexo=DCA-Anexo+I-C" TargetMode="External"/><Relationship Id="rId485" Type="http://schemas.openxmlformats.org/officeDocument/2006/relationships/hyperlink" Target="https://download.inep.gov.br/ideb/resultados/divulgacao_anos_iniciais_municipios_2025.zip" TargetMode="External"/><Relationship Id="rId42" Type="http://schemas.openxmlformats.org/officeDocument/2006/relationships/hyperlink" Target="https://www.imf.org/external/datamapper/api/v2/GGXWDG_NGDP/ARG?periods=2016,2017,2018,2019,2020,2021,2022,2023,2024,2025" TargetMode="External"/><Relationship Id="rId84" Type="http://schemas.openxmlformats.org/officeDocument/2006/relationships/hyperlink" Target="https://www.argentina.gob.ar/noticias/en-el-ano-2025-el-sector-publico-nacional-registro-un-superavit-financiero-de-1453819" TargetMode="External"/><Relationship Id="rId138" Type="http://schemas.openxmlformats.org/officeDocument/2006/relationships/hyperlink" Target="https://servicodados.ibge.gov.br/api/v3/agregados/1737/metadados" TargetMode="External"/><Relationship Id="rId345" Type="http://schemas.openxmlformats.org/officeDocument/2006/relationships/hyperlink" Target="https://apidatalake.tesouro.gov.br/ords/cdwhprd/siconfi/tt/rgf?an_exercicio=2018&amp;in_periodicidade=Q&amp;nr_periodo=3&amp;co_tipo_demonstrativo=RGF&amp;no_anexo=RGF-Anexo+01&amp;co_poder=E&amp;id_ente=2304400" TargetMode="External"/><Relationship Id="rId387" Type="http://schemas.openxmlformats.org/officeDocument/2006/relationships/hyperlink" Target="https://apidatalake.tesouro.gov.br/ords/cdwhprd/siconfi/tt/dca?an_exercicio=2021&amp;id_ente=2304400&amp;no_anexo=DCA-Anexo+I-D" TargetMode="External"/><Relationship Id="rId510" Type="http://schemas.openxmlformats.org/officeDocument/2006/relationships/hyperlink" Target="https://apidatalake.tesouro.gov.br/ords/cdwhprd/siconfi/tt/rgf?an_exercicio=2016&amp;in_periodicidade=Q&amp;nr_periodo=3&amp;co_tipo_demonstrativo=RGF&amp;no_anexo=RGF-Anexo+01&amp;co_poder=E&amp;id_ente=2307304" TargetMode="External"/><Relationship Id="rId552" Type="http://schemas.openxmlformats.org/officeDocument/2006/relationships/hyperlink" Target="https://apidatalake.tesouro.gov.br/ords/cdwhprd/siconfi/tt/dca?an_exercicio=2018&amp;id_ente=2307304&amp;no_anexo=DCA-Anexo+I-C" TargetMode="External"/><Relationship Id="rId594" Type="http://schemas.openxmlformats.org/officeDocument/2006/relationships/hyperlink" Target="https://download.inep.gov.br/ideb/resultados/divulgacao_anos_finais_municipios_2025.zip" TargetMode="External"/><Relationship Id="rId608" Type="http://schemas.openxmlformats.org/officeDocument/2006/relationships/hyperlink" Target="https://apidatalake.tesouro.gov.br/ords/cdwhprd/siconfi/tt/dca?an_exercicio=2022&amp;id_ente=2307304&amp;no_anexo=DCA-Anexo+I-C" TargetMode="External"/><Relationship Id="rId191" Type="http://schemas.openxmlformats.org/officeDocument/2006/relationships/hyperlink" Target="https://servicodados.ibge.gov.br/api/v3/agregados/1737/metadados" TargetMode="External"/><Relationship Id="rId205" Type="http://schemas.openxmlformats.org/officeDocument/2006/relationships/hyperlink" Target="https://servicodados.ibge.gov.br/api/v3/agregados/1737/metadados" TargetMode="External"/><Relationship Id="rId247" Type="http://schemas.openxmlformats.org/officeDocument/2006/relationships/hyperlink" Target="https://servicodados.ibge.gov.br/api/v3/agregados/1737/metadados" TargetMode="External"/><Relationship Id="rId412" Type="http://schemas.openxmlformats.org/officeDocument/2006/relationships/hyperlink" Target="https://www.ibge.gov.br/cidades-e-estados/ce/fortaleza.html" TargetMode="External"/><Relationship Id="rId107" Type="http://schemas.openxmlformats.org/officeDocument/2006/relationships/hyperlink" Target="https://www.argentina.gob.ar/noticias/en-el-ano-2025-el-sector-publico-nacional-registro-un-superavit-financiero-de-1453819" TargetMode="External"/><Relationship Id="rId289" Type="http://schemas.openxmlformats.org/officeDocument/2006/relationships/hyperlink" Target="https://download.inep.gov.br/ideb/resultados/divulgacao_anos_finais_municipios_2025.zip" TargetMode="External"/><Relationship Id="rId454" Type="http://schemas.openxmlformats.org/officeDocument/2006/relationships/hyperlink" Target="https://apidatalake.tesouro.gov.br/ords/cdwhprd/siconfi/tt/dca?an_exercicio=2025&amp;id_ente=2304400&amp;no_anexo=DCA-Anexo+I-D" TargetMode="External"/><Relationship Id="rId496" Type="http://schemas.openxmlformats.org/officeDocument/2006/relationships/hyperlink" Target="https://ftp.ibge.gov.br/Pib_Municipios/2022_2023/base/base_de_dados_2010_2023_xlsx.zip" TargetMode="External"/><Relationship Id="rId661" Type="http://schemas.openxmlformats.org/officeDocument/2006/relationships/hyperlink" Target="https://download.inep.gov.br/ideb/resultados/divulgacao_anos_iniciais_municipios_2025.zip" TargetMode="External"/><Relationship Id="rId11" Type="http://schemas.openxmlformats.org/officeDocument/2006/relationships/hyperlink" Target="https://www.argentina.gob.ar/noticias/en-el-ano-2025-el-sector-publico-nacional-registro-un-superavit-financiero-de-1453819" TargetMode="External"/><Relationship Id="rId53" Type="http://schemas.openxmlformats.org/officeDocument/2006/relationships/hyperlink" Target="https://www.imf.org/external/datamapper/api/v2/exp/ARG?periods=2016,2017,2018,2019,2020,2021,2022,2023,2024,2025" TargetMode="External"/><Relationship Id="rId149" Type="http://schemas.openxmlformats.org/officeDocument/2006/relationships/hyperlink" Target="https://servicodados.ibge.gov.br/api/v3/agregados/1737/metadados" TargetMode="External"/><Relationship Id="rId314" Type="http://schemas.openxmlformats.org/officeDocument/2006/relationships/hyperlink" Target="https://apidatalake.tesouro.gov.br/ords/cdwhprd/siconfi/tt/dca?an_exercicio=2016&amp;id_ente=2304400&amp;no_anexo=DCA-Anexo+I-C" TargetMode="External"/><Relationship Id="rId356" Type="http://schemas.openxmlformats.org/officeDocument/2006/relationships/hyperlink" Target="https://apidatalake.tesouro.gov.br/ords/cdwhprd/siconfi/tt/rgf?an_exercicio=2019&amp;in_periodicidade=Q&amp;nr_periodo=3&amp;co_tipo_demonstrativo=RGF&amp;no_anexo=RGF-Anexo+01&amp;co_poder=E&amp;id_ente=2304400" TargetMode="External"/><Relationship Id="rId398" Type="http://schemas.openxmlformats.org/officeDocument/2006/relationships/hyperlink" Target="https://apidatalake.tesouro.gov.br/ords/cdwhprd/siconfi/tt/rgf?an_exercicio=2021&amp;in_periodicidade=Q&amp;nr_periodo=3&amp;co_tipo_demonstrativo=RGF&amp;no_anexo=RGF-Anexo+01&amp;co_poder=E&amp;id_ente=2304400" TargetMode="External"/><Relationship Id="rId521" Type="http://schemas.openxmlformats.org/officeDocument/2006/relationships/hyperlink" Target="https://apidatalake.tesouro.gov.br/ords/cdwhprd/siconfi/tt/dca?an_exercicio=2017&amp;id_ente=2307304&amp;no_anexo=DCA-Anexo+I-C" TargetMode="External"/><Relationship Id="rId563" Type="http://schemas.openxmlformats.org/officeDocument/2006/relationships/hyperlink" Target="https://download.inep.gov.br/ideb/resultados/divulgacao_anos_iniciais_municipios_2025.zip" TargetMode="External"/><Relationship Id="rId619" Type="http://schemas.openxmlformats.org/officeDocument/2006/relationships/hyperlink" Target="https://apidatalake.tesouro.gov.br/ords/cdwhprd/siconfi/tt/dca?an_exercicio=2022&amp;id_ente=2307304&amp;no_anexo=DCA-Anexo+I-C" TargetMode="External"/><Relationship Id="rId95" Type="http://schemas.openxmlformats.org/officeDocument/2006/relationships/hyperlink" Target="https://www.argentina.gob.ar/noticias/en-el-ano-2025-el-sector-publico-nacional-registro-un-superavit-financiero-de-1453819" TargetMode="External"/><Relationship Id="rId160" Type="http://schemas.openxmlformats.org/officeDocument/2006/relationships/hyperlink" Target="https://servicodados.ibge.gov.br/api/v3/agregados/1737/metadados" TargetMode="External"/><Relationship Id="rId216" Type="http://schemas.openxmlformats.org/officeDocument/2006/relationships/hyperlink" Target="https://servicodados.ibge.gov.br/api/v3/agregados/1737/metadados" TargetMode="External"/><Relationship Id="rId423" Type="http://schemas.openxmlformats.org/officeDocument/2006/relationships/hyperlink" Target="https://apidatalake.tesouro.gov.br/ords/cdwhprd/siconfi/tt/dca?an_exercicio=2023&amp;id_ente=2304400&amp;no_anexo=DCA-Anexo+I-D" TargetMode="External"/><Relationship Id="rId258" Type="http://schemas.openxmlformats.org/officeDocument/2006/relationships/hyperlink" Target="https://servicodados.ibge.gov.br/api/v3/agregados/1737/metadados" TargetMode="External"/><Relationship Id="rId465" Type="http://schemas.openxmlformats.org/officeDocument/2006/relationships/hyperlink" Target="https://apidatalake.tesouro.gov.br/ords/cdwhprd/siconfi/tt/dca?an_exercicio=2025&amp;id_ente=2304400&amp;no_anexo=DCA-Anexo+I-C" TargetMode="External"/><Relationship Id="rId630" Type="http://schemas.openxmlformats.org/officeDocument/2006/relationships/hyperlink" Target="https://download.inep.gov.br/ideb/resultados/divulgacao_anos_finais_municipios_2025.zip" TargetMode="External"/><Relationship Id="rId22" Type="http://schemas.openxmlformats.org/officeDocument/2006/relationships/hyperlink" Target="https://www.argentina.gob.ar/sites/default/files/serie_ron_2003_2025.csv" TargetMode="External"/><Relationship Id="rId64" Type="http://schemas.openxmlformats.org/officeDocument/2006/relationships/hyperlink" Target="https://www.imf.org/external/datamapper/api/v2/NGDP_RPCH/ARG?periods=2016,2017,2018,2019,2020,2021,2022,2023,2024,2025" TargetMode="External"/><Relationship Id="rId118" Type="http://schemas.openxmlformats.org/officeDocument/2006/relationships/hyperlink" Target="https://www.argentina.gob.ar/sites/default/files/serie_ron_2003_2025.csv" TargetMode="External"/><Relationship Id="rId325" Type="http://schemas.openxmlformats.org/officeDocument/2006/relationships/hyperlink" Target="https://download.inep.gov.br/ideb/resultados/divulgacao_anos_finais_municipios_2025.zip" TargetMode="External"/><Relationship Id="rId367" Type="http://schemas.openxmlformats.org/officeDocument/2006/relationships/hyperlink" Target="https://apidatalake.tesouro.gov.br/ords/cdwhprd/siconfi/tt/dca?an_exercicio=2019&amp;id_ente=2304400&amp;no_anexo=DCA-Anexo+I-C" TargetMode="External"/><Relationship Id="rId532" Type="http://schemas.openxmlformats.org/officeDocument/2006/relationships/hyperlink" Target="https://apisidra.ibge.gov.br/values/t/6579/p/2016-2025/v/9324/n6/2307304" TargetMode="External"/><Relationship Id="rId574" Type="http://schemas.openxmlformats.org/officeDocument/2006/relationships/hyperlink" Target="https://apidatalake.tesouro.gov.br/ords/cdwhprd/siconfi/tt/dca?an_exercicio=2020&amp;id_ente=2307304&amp;no_anexo=DCA-Anexo+I-C" TargetMode="External"/><Relationship Id="rId171" Type="http://schemas.openxmlformats.org/officeDocument/2006/relationships/hyperlink" Target="https://servicodados.ibge.gov.br/api/v3/agregados/1737/metadados" TargetMode="External"/><Relationship Id="rId227" Type="http://schemas.openxmlformats.org/officeDocument/2006/relationships/hyperlink" Target="https://servicodados.ibge.gov.br/api/v3/agregados/1737/metadados" TargetMode="External"/><Relationship Id="rId269" Type="http://schemas.openxmlformats.org/officeDocument/2006/relationships/hyperlink" Target="https://download.inep.gov.br/ideb/resultados/divulgacao_anos_finais_municipios_2025.zip" TargetMode="External"/><Relationship Id="rId434" Type="http://schemas.openxmlformats.org/officeDocument/2006/relationships/hyperlink" Target="https://apidatalake.tesouro.gov.br/ords/cdwhprd/siconfi/tt/dca?an_exercicio=2023&amp;id_ente=2304400&amp;no_anexo=DCA-Anexo+I-C" TargetMode="External"/><Relationship Id="rId476" Type="http://schemas.openxmlformats.org/officeDocument/2006/relationships/hyperlink" Target="https://download.inep.gov.br/ideb/resultados/divulgacao_anos_finais_municipios_2025.zip" TargetMode="External"/><Relationship Id="rId641" Type="http://schemas.openxmlformats.org/officeDocument/2006/relationships/hyperlink" Target="https://apidatalake.tesouro.gov.br/ords/cdwhprd/siconfi/tt/rgf?an_exercicio=2024&amp;in_periodicidade=Q&amp;nr_periodo=3&amp;co_tipo_demonstrativo=RGF&amp;no_anexo=RGF-Anexo+01&amp;co_poder=E&amp;id_ente=2307304" TargetMode="External"/><Relationship Id="rId33" Type="http://schemas.openxmlformats.org/officeDocument/2006/relationships/hyperlink" Target="https://www.imf.org/external/datamapper/api/v2/LP/ARG?periods=2016,2017,2018,2019,2020,2021,2022,2023,2024,2025" TargetMode="External"/><Relationship Id="rId129" Type="http://schemas.openxmlformats.org/officeDocument/2006/relationships/hyperlink" Target="https://servicodados.ibge.gov.br/api/v3/agregados/1737/metadados" TargetMode="External"/><Relationship Id="rId280" Type="http://schemas.openxmlformats.org/officeDocument/2006/relationships/hyperlink" Target="https://download.inep.gov.br/ideb/resultados/divulgacao_anos_iniciais_municipios_2025.zip" TargetMode="External"/><Relationship Id="rId336" Type="http://schemas.openxmlformats.org/officeDocument/2006/relationships/hyperlink" Target="https://apidatalake.tesouro.gov.br/ords/cdwhprd/siconfi/tt/rgf?an_exercicio=2018&amp;in_periodicidade=Q&amp;nr_periodo=3&amp;co_tipo_demonstrativo=RGF&amp;no_anexo=RGF-Anexo+01&amp;co_poder=E&amp;id_ente=2304400" TargetMode="External"/><Relationship Id="rId501" Type="http://schemas.openxmlformats.org/officeDocument/2006/relationships/hyperlink" Target="https://download.inep.gov.br/ideb/resultados/divulgacao_anos_iniciais_municipios_2025.zip" TargetMode="External"/><Relationship Id="rId543" Type="http://schemas.openxmlformats.org/officeDocument/2006/relationships/hyperlink" Target="https://apidatalake.tesouro.gov.br/ords/cdwhprd/siconfi/tt/dca?an_exercicio=2018&amp;id_ente=2307304&amp;no_anexo=DCA-Anexo+I-D" TargetMode="External"/><Relationship Id="rId75" Type="http://schemas.openxmlformats.org/officeDocument/2006/relationships/hyperlink" Target="https://www.imf.org/external/datamapper/api/v2/NGDPD/ARG?periods=2016,2017,2018,2019,2020,2021,2022,2023,2024,2025" TargetMode="External"/><Relationship Id="rId140" Type="http://schemas.openxmlformats.org/officeDocument/2006/relationships/hyperlink" Target="https://servicodados.ibge.gov.br/api/v3/agregados/1737/metadados" TargetMode="External"/><Relationship Id="rId182" Type="http://schemas.openxmlformats.org/officeDocument/2006/relationships/hyperlink" Target="https://servicodados.ibge.gov.br/api/v3/agregados/1737/metadados" TargetMode="External"/><Relationship Id="rId378" Type="http://schemas.openxmlformats.org/officeDocument/2006/relationships/hyperlink" Target="https://apisidra.ibge.gov.br/values/t/6579/p/2016-2025/v/9324/n6/2304400" TargetMode="External"/><Relationship Id="rId403" Type="http://schemas.openxmlformats.org/officeDocument/2006/relationships/hyperlink" Target="https://apidatalake.tesouro.gov.br/ords/cdwhprd/siconfi/tt/dca?an_exercicio=2022&amp;id_ente=2304400&amp;no_anexo=DCA-Anexo+I-C" TargetMode="External"/><Relationship Id="rId585" Type="http://schemas.openxmlformats.org/officeDocument/2006/relationships/hyperlink" Target="https://apidatalake.tesouro.gov.br/ords/cdwhprd/siconfi/tt/dca?an_exercicio=2020&amp;id_ente=2307304&amp;no_anexo=DCA-Anexo+I-C" TargetMode="External"/><Relationship Id="rId6" Type="http://schemas.openxmlformats.org/officeDocument/2006/relationships/hyperlink" Target="https://www.imf.org/external/datamapper/api/v2/GGXWDG_NGDP/ARG?periods=2016,2017,2018,2019,2020,2021,2022,2023,2024,2025" TargetMode="External"/><Relationship Id="rId238" Type="http://schemas.openxmlformats.org/officeDocument/2006/relationships/hyperlink" Target="https://servicodados.ibge.gov.br/api/v3/agregados/1737/metadados" TargetMode="External"/><Relationship Id="rId445" Type="http://schemas.openxmlformats.org/officeDocument/2006/relationships/hyperlink" Target="https://apidatalake.tesouro.gov.br/ords/cdwhprd/siconfi/tt/rgf?an_exercicio=2024&amp;in_periodicidade=Q&amp;nr_periodo=3&amp;co_tipo_demonstrativo=RGF&amp;no_anexo=RGF-Anexo+01&amp;co_poder=E&amp;id_ente=2304400" TargetMode="External"/><Relationship Id="rId487" Type="http://schemas.openxmlformats.org/officeDocument/2006/relationships/hyperlink" Target="https://ftp.ibge.gov.br/Pib_Municipios/2022_2023/base/base_de_dados_2010_2023_xlsx.zip" TargetMode="External"/><Relationship Id="rId610" Type="http://schemas.openxmlformats.org/officeDocument/2006/relationships/hyperlink" Target="https://apidatalake.tesouro.gov.br/ords/cdwhprd/siconfi/tt/dca?an_exercicio=2022&amp;id_ente=2307304&amp;no_anexo=DCA-Anexo+I-D" TargetMode="External"/><Relationship Id="rId652" Type="http://schemas.openxmlformats.org/officeDocument/2006/relationships/hyperlink" Target="https://apidatalake.tesouro.gov.br/ords/cdwhprd/siconfi/tt/dca?an_exercicio=2024&amp;id_ente=2307304&amp;no_anexo=DCA-Anexo+I-C" TargetMode="External"/><Relationship Id="rId291" Type="http://schemas.openxmlformats.org/officeDocument/2006/relationships/hyperlink" Target="https://ftp.ibge.gov.br/Pib_Municipios/2022_2023/base/base_de_dados_2010_2023_xlsx.zip" TargetMode="External"/><Relationship Id="rId305" Type="http://schemas.openxmlformats.org/officeDocument/2006/relationships/hyperlink" Target="https://apidatalake.tesouro.gov.br/ords/cdwhprd/siconfi/tt/dca?an_exercicio=2016&amp;id_ente=2304400&amp;no_anexo=DCA-Anexo+I-D" TargetMode="External"/><Relationship Id="rId347" Type="http://schemas.openxmlformats.org/officeDocument/2006/relationships/hyperlink" Target="https://apidatalake.tesouro.gov.br/ords/cdwhprd/siconfi/tt/dca?an_exercicio=2018&amp;id_ente=2304400&amp;no_anexo=DCA-Anexo+I-C" TargetMode="External"/><Relationship Id="rId512" Type="http://schemas.openxmlformats.org/officeDocument/2006/relationships/hyperlink" Target="https://ftp.ibge.gov.br/Pib_Municipios/2022_2023/base/base_de_dados_2010_2023_xlsx.zip" TargetMode="External"/><Relationship Id="rId44" Type="http://schemas.openxmlformats.org/officeDocument/2006/relationships/hyperlink" Target="https://www.imf.org/external/datamapper/api/v2/GGXCNL_G01_GDP_PT/ARG?periods=2016,2017,2018,2019,2020,2021,2022,2023,2024,2025" TargetMode="External"/><Relationship Id="rId86" Type="http://schemas.openxmlformats.org/officeDocument/2006/relationships/hyperlink" Target="https://www.imf.org/external/datamapper/api/v2/PCPIPCH/ARG?periods=2016,2017,2018,2019,2020,2021,2022,2023,2024,2025" TargetMode="External"/><Relationship Id="rId151" Type="http://schemas.openxmlformats.org/officeDocument/2006/relationships/hyperlink" Target="https://servicodados.ibge.gov.br/api/v3/agregados/1737/metadados" TargetMode="External"/><Relationship Id="rId389" Type="http://schemas.openxmlformats.org/officeDocument/2006/relationships/hyperlink" Target="https://apidatalake.tesouro.gov.br/ords/cdwhprd/siconfi/tt/dca?an_exercicio=2021&amp;id_ente=2304400&amp;no_anexo=DCA-Anexo+I-D" TargetMode="External"/><Relationship Id="rId554" Type="http://schemas.openxmlformats.org/officeDocument/2006/relationships/hyperlink" Target="https://apidatalake.tesouro.gov.br/ords/cdwhprd/siconfi/tt/rgf?an_exercicio=2019&amp;in_periodicidade=Q&amp;nr_periodo=3&amp;co_tipo_demonstrativo=RGF&amp;no_anexo=RGF-Anexo+01&amp;co_poder=E&amp;id_ente=2307304" TargetMode="External"/><Relationship Id="rId596" Type="http://schemas.openxmlformats.org/officeDocument/2006/relationships/hyperlink" Target="https://download.inep.gov.br/ideb/resultados/divulgacao_anos_finais_municipios_2025.zip" TargetMode="External"/><Relationship Id="rId193" Type="http://schemas.openxmlformats.org/officeDocument/2006/relationships/hyperlink" Target="https://servicodados.ibge.gov.br/api/v3/agregados/1737/metadados" TargetMode="External"/><Relationship Id="rId207" Type="http://schemas.openxmlformats.org/officeDocument/2006/relationships/hyperlink" Target="https://servicodados.ibge.gov.br/api/v3/agregados/1737/metadados" TargetMode="External"/><Relationship Id="rId249" Type="http://schemas.openxmlformats.org/officeDocument/2006/relationships/hyperlink" Target="https://servicodados.ibge.gov.br/api/v3/agregados/1737/metadados" TargetMode="External"/><Relationship Id="rId414" Type="http://schemas.openxmlformats.org/officeDocument/2006/relationships/hyperlink" Target="https://apidatalake.tesouro.gov.br/ords/cdwhprd/siconfi/tt/rgf?an_exercicio=2022&amp;in_periodicidade=Q&amp;nr_periodo=3&amp;co_tipo_demonstrativo=RGF&amp;no_anexo=RGF-Anexo+01&amp;co_poder=E&amp;id_ente=2304400" TargetMode="External"/><Relationship Id="rId456" Type="http://schemas.openxmlformats.org/officeDocument/2006/relationships/hyperlink" Target="https://apidatalake.tesouro.gov.br/ords/cdwhprd/siconfi/tt/rgf?an_exercicio=2025&amp;in_periodicidade=Q&amp;nr_periodo=3&amp;co_tipo_demonstrativo=RGF&amp;no_anexo=RGF-Anexo+01&amp;co_poder=E&amp;id_ente=2304400" TargetMode="External"/><Relationship Id="rId498" Type="http://schemas.openxmlformats.org/officeDocument/2006/relationships/hyperlink" Target="https://download.inep.gov.br/ideb/resultados/divulgacao_anos_finais_municipios_2025.zip" TargetMode="External"/><Relationship Id="rId621" Type="http://schemas.openxmlformats.org/officeDocument/2006/relationships/hyperlink" Target="https://apidatalake.tesouro.gov.br/ords/cdwhprd/siconfi/tt/dca?an_exercicio=2023&amp;id_ente=2307304&amp;no_anexo=DCA-Anexo+I-C" TargetMode="External"/><Relationship Id="rId663" Type="http://schemas.openxmlformats.org/officeDocument/2006/relationships/hyperlink" Target="https://download.inep.gov.br/ideb/resultados/divulgacao_anos_iniciais_municipios_2025.zip" TargetMode="External"/><Relationship Id="rId13" Type="http://schemas.openxmlformats.org/officeDocument/2006/relationships/hyperlink" Target="https://contenidos.afip.gob.ar/institucional/estudios/archivos/serie2017.xls" TargetMode="External"/><Relationship Id="rId109" Type="http://schemas.openxmlformats.org/officeDocument/2006/relationships/hyperlink" Target="https://contenidos.afip.gob.ar/institucional/estudios/archivos/serie2025.xls" TargetMode="External"/><Relationship Id="rId260" Type="http://schemas.openxmlformats.org/officeDocument/2006/relationships/hyperlink" Target="https://servicodados.ibge.gov.br/api/v3/agregados/1737/metadados" TargetMode="External"/><Relationship Id="rId316" Type="http://schemas.openxmlformats.org/officeDocument/2006/relationships/hyperlink" Target="https://apidatalake.tesouro.gov.br/ords/cdwhprd/siconfi/tt/dca?an_exercicio=2017&amp;id_ente=2304400&amp;no_anexo=DCA-Anexo+I-C" TargetMode="External"/><Relationship Id="rId523" Type="http://schemas.openxmlformats.org/officeDocument/2006/relationships/hyperlink" Target="https://apidatalake.tesouro.gov.br/ords/cdwhprd/siconfi/tt/dca?an_exercicio=2017&amp;id_ente=2307304&amp;no_anexo=DCA-Anexo+I-D" TargetMode="External"/><Relationship Id="rId55" Type="http://schemas.openxmlformats.org/officeDocument/2006/relationships/hyperlink" Target="https://www.argentina.gob.ar/noticias/en-el-ano-2025-el-sector-publico-nacional-registro-un-superavit-financiero-de-1453819" TargetMode="External"/><Relationship Id="rId97" Type="http://schemas.openxmlformats.org/officeDocument/2006/relationships/hyperlink" Target="https://contenidos.afip.gob.ar/institucional/estudios/archivos/serie2024.xls" TargetMode="External"/><Relationship Id="rId120" Type="http://schemas.openxmlformats.org/officeDocument/2006/relationships/hyperlink" Target="https://www.argentina.gob.ar/noticias/en-el-ano-2025-el-sector-publico-nacional-registro-un-superavit-financiero-de-1453819" TargetMode="External"/><Relationship Id="rId358" Type="http://schemas.openxmlformats.org/officeDocument/2006/relationships/hyperlink" Target="https://download.inep.gov.br/ideb/resultados/divulgacao_anos_iniciais_municipios_2025.zip" TargetMode="External"/><Relationship Id="rId565" Type="http://schemas.openxmlformats.org/officeDocument/2006/relationships/hyperlink" Target="https://ftp.ibge.gov.br/Pib_Municipios/2022_2023/base/base_de_dados_2010_2023_xlsx.zip" TargetMode="External"/><Relationship Id="rId162" Type="http://schemas.openxmlformats.org/officeDocument/2006/relationships/hyperlink" Target="https://servicodados.ibge.gov.br/api/v3/agregados/1737/metadados" TargetMode="External"/><Relationship Id="rId218" Type="http://schemas.openxmlformats.org/officeDocument/2006/relationships/hyperlink" Target="https://servicodados.ibge.gov.br/api/v3/agregados/1737/metadados" TargetMode="External"/><Relationship Id="rId425" Type="http://schemas.openxmlformats.org/officeDocument/2006/relationships/hyperlink" Target="https://download.inep.gov.br/ideb/resultados/divulgacao_anos_finais_municipios_2025.zip" TargetMode="External"/><Relationship Id="rId467" Type="http://schemas.openxmlformats.org/officeDocument/2006/relationships/hyperlink" Target="https://www.ibge.gov.br/cidades-e-estados/ce/fortaleza.html" TargetMode="External"/><Relationship Id="rId632" Type="http://schemas.openxmlformats.org/officeDocument/2006/relationships/hyperlink" Target="https://ftp.ibge.gov.br/Pib_Municipios/2022_2023/base/base_de_dados_2010_2023_xlsx.zip" TargetMode="External"/><Relationship Id="rId271" Type="http://schemas.openxmlformats.org/officeDocument/2006/relationships/hyperlink" Target="https://download.inep.gov.br/ideb/resultados/divulgacao_anos_finais_municipios_2025.zip" TargetMode="External"/><Relationship Id="rId24" Type="http://schemas.openxmlformats.org/officeDocument/2006/relationships/hyperlink" Target="https://www.argentina.gob.ar/noticias/en-el-ano-2025-el-sector-publico-nacional-registro-un-superavit-financiero-de-1453819" TargetMode="External"/><Relationship Id="rId66" Type="http://schemas.openxmlformats.org/officeDocument/2006/relationships/hyperlink" Target="https://www.imf.org/external/datamapper/api/v2/GGXWDG_NGDP/ARG?periods=2016,2017,2018,2019,2020,2021,2022,2023,2024,2025" TargetMode="External"/><Relationship Id="rId131" Type="http://schemas.openxmlformats.org/officeDocument/2006/relationships/hyperlink" Target="https://servicodados.ibge.gov.br/api/v3/agregados/1737/metadados" TargetMode="External"/><Relationship Id="rId327" Type="http://schemas.openxmlformats.org/officeDocument/2006/relationships/hyperlink" Target="https://ftp.ibge.gov.br/Pib_Municipios/2022_2023/base/base_de_dados_2010_2023_xlsx.zip" TargetMode="External"/><Relationship Id="rId369" Type="http://schemas.openxmlformats.org/officeDocument/2006/relationships/hyperlink" Target="https://apidatalake.tesouro.gov.br/ords/cdwhprd/siconfi/tt/dca?an_exercicio=2020&amp;id_ente=2304400&amp;no_anexo=DCA-Anexo+I-C" TargetMode="External"/><Relationship Id="rId534" Type="http://schemas.openxmlformats.org/officeDocument/2006/relationships/hyperlink" Target="https://apidatalake.tesouro.gov.br/ords/cdwhprd/siconfi/tt/rgf?an_exercicio=2017&amp;in_periodicidade=Q&amp;nr_periodo=3&amp;co_tipo_demonstrativo=RGF&amp;no_anexo=RGF-Anexo+01&amp;co_poder=E&amp;id_ente=2307304" TargetMode="External"/><Relationship Id="rId576" Type="http://schemas.openxmlformats.org/officeDocument/2006/relationships/hyperlink" Target="https://apidatalake.tesouro.gov.br/ords/cdwhprd/siconfi/tt/dca?an_exercicio=2020&amp;id_ente=2307304&amp;no_anexo=DCA-Anexo+I-D" TargetMode="External"/><Relationship Id="rId173" Type="http://schemas.openxmlformats.org/officeDocument/2006/relationships/hyperlink" Target="https://servicodados.ibge.gov.br/api/v3/agregados/1737/metadados" TargetMode="External"/><Relationship Id="rId229" Type="http://schemas.openxmlformats.org/officeDocument/2006/relationships/hyperlink" Target="https://servicodados.ibge.gov.br/api/v3/agregados/1737/metadados" TargetMode="External"/><Relationship Id="rId380" Type="http://schemas.openxmlformats.org/officeDocument/2006/relationships/hyperlink" Target="https://apidatalake.tesouro.gov.br/ords/cdwhprd/siconfi/tt/rgf?an_exercicio=2020&amp;in_periodicidade=Q&amp;nr_periodo=3&amp;co_tipo_demonstrativo=RGF&amp;no_anexo=RGF-Anexo+01&amp;co_poder=E&amp;id_ente=2304400" TargetMode="External"/><Relationship Id="rId436" Type="http://schemas.openxmlformats.org/officeDocument/2006/relationships/hyperlink" Target="https://apidatalake.tesouro.gov.br/ords/cdwhprd/siconfi/tt/dca?an_exercicio=2023&amp;id_ente=2304400&amp;no_anexo=DCA-Anexo+I-C" TargetMode="External"/><Relationship Id="rId601" Type="http://schemas.openxmlformats.org/officeDocument/2006/relationships/hyperlink" Target="https://apidatalake.tesouro.gov.br/ords/cdwhprd/siconfi/tt/rgf?an_exercicio=2021&amp;in_periodicidade=Q&amp;nr_periodo=3&amp;co_tipo_demonstrativo=RGF&amp;no_anexo=RGF-Anexo+01&amp;co_poder=E&amp;id_ente=2307304" TargetMode="External"/><Relationship Id="rId643" Type="http://schemas.openxmlformats.org/officeDocument/2006/relationships/hyperlink" Target="https://apidatalake.tesouro.gov.br/ords/cdwhprd/siconfi/tt/dca?an_exercicio=2024&amp;id_ente=2307304&amp;no_anexo=DCA-Anexo+I-D" TargetMode="External"/><Relationship Id="rId240" Type="http://schemas.openxmlformats.org/officeDocument/2006/relationships/hyperlink" Target="https://servicodados.ibge.gov.br/api/v3/agregados/1737/metadados" TargetMode="External"/><Relationship Id="rId478" Type="http://schemas.openxmlformats.org/officeDocument/2006/relationships/hyperlink" Target="https://download.inep.gov.br/ideb/resultados/divulgacao_anos_finais_municipios_2025.zip" TargetMode="External"/><Relationship Id="rId35" Type="http://schemas.openxmlformats.org/officeDocument/2006/relationships/hyperlink" Target="https://www.argentina.gob.ar/noticias/en-el-ano-2025-el-sector-publico-nacional-registro-un-superavit-financiero-de-1453819" TargetMode="External"/><Relationship Id="rId77" Type="http://schemas.openxmlformats.org/officeDocument/2006/relationships/hyperlink" Target="https://www.imf.org/external/datamapper/api/v2/exp/ARG?periods=2016,2017,2018,2019,2020,2021,2022,2023,2024,2025" TargetMode="External"/><Relationship Id="rId100" Type="http://schemas.openxmlformats.org/officeDocument/2006/relationships/hyperlink" Target="https://www.imf.org/external/datamapper/api/v2/NGDP_RPCH/ARG?periods=2016,2017,2018,2019,2020,2021,2022,2023,2024,2025" TargetMode="External"/><Relationship Id="rId282" Type="http://schemas.openxmlformats.org/officeDocument/2006/relationships/hyperlink" Target="https://download.inep.gov.br/ideb/resultados/divulgacao_anos_iniciais_municipios_2025.zip" TargetMode="External"/><Relationship Id="rId338" Type="http://schemas.openxmlformats.org/officeDocument/2006/relationships/hyperlink" Target="https://apidatalake.tesouro.gov.br/ords/cdwhprd/siconfi/tt/dca?an_exercicio=2018&amp;id_ente=2304400&amp;no_anexo=DCA-Anexo+I-D" TargetMode="External"/><Relationship Id="rId503" Type="http://schemas.openxmlformats.org/officeDocument/2006/relationships/hyperlink" Target="https://ftp.ibge.gov.br/Pib_Municipios/2022_2023/base/base_de_dados_2010_2023_xlsx.zip" TargetMode="External"/><Relationship Id="rId545" Type="http://schemas.openxmlformats.org/officeDocument/2006/relationships/hyperlink" Target="https://ftp.ibge.gov.br/Pib_Municipios/2022_2023/base/base_de_dados_2010_2023_xlsx.zip" TargetMode="External"/><Relationship Id="rId587" Type="http://schemas.openxmlformats.org/officeDocument/2006/relationships/hyperlink" Target="https://apidatalake.tesouro.gov.br/ords/cdwhprd/siconfi/tt/dca?an_exercicio=2021&amp;id_ente=2307304&amp;no_anexo=DCA-Anexo+I-C" TargetMode="External"/><Relationship Id="rId8" Type="http://schemas.openxmlformats.org/officeDocument/2006/relationships/hyperlink" Target="https://www.imf.org/external/datamapper/api/v2/GGXCNL_G01_GDP_PT/ARG?periods=2016,2017,2018,2019,2020,2021,2022,2023,2024,2025" TargetMode="External"/><Relationship Id="rId142" Type="http://schemas.openxmlformats.org/officeDocument/2006/relationships/hyperlink" Target="https://servicodados.ibge.gov.br/api/v3/agregados/1737/metadados" TargetMode="External"/><Relationship Id="rId184" Type="http://schemas.openxmlformats.org/officeDocument/2006/relationships/hyperlink" Target="https://servicodados.ibge.gov.br/api/v3/agregados/1737/metadados" TargetMode="External"/><Relationship Id="rId391" Type="http://schemas.openxmlformats.org/officeDocument/2006/relationships/hyperlink" Target="https://download.inep.gov.br/ideb/resultados/divulgacao_anos_finais_municipios_2025.zip" TargetMode="External"/><Relationship Id="rId405" Type="http://schemas.openxmlformats.org/officeDocument/2006/relationships/hyperlink" Target="https://apidatalake.tesouro.gov.br/ords/cdwhprd/siconfi/tt/dca?an_exercicio=2022&amp;id_ente=2304400&amp;no_anexo=DCA-Anexo+I-C" TargetMode="External"/><Relationship Id="rId447" Type="http://schemas.openxmlformats.org/officeDocument/2006/relationships/hyperlink" Target="https://apidatalake.tesouro.gov.br/ords/cdwhprd/siconfi/tt/dca?an_exercicio=2024&amp;id_ente=2304400&amp;no_anexo=DCA-Anexo+I-C" TargetMode="External"/><Relationship Id="rId612" Type="http://schemas.openxmlformats.org/officeDocument/2006/relationships/hyperlink" Target="https://apidatalake.tesouro.gov.br/ords/cdwhprd/siconfi/tt/rgf?an_exercicio=2022&amp;in_periodicidade=Q&amp;nr_periodo=3&amp;co_tipo_demonstrativo=RGF&amp;no_anexo=RGF-Anexo+01&amp;co_poder=E&amp;id_ente=2307304" TargetMode="External"/><Relationship Id="rId251" Type="http://schemas.openxmlformats.org/officeDocument/2006/relationships/hyperlink" Target="https://servicodados.ibge.gov.br/api/v3/agregados/1737/metadados" TargetMode="External"/><Relationship Id="rId489" Type="http://schemas.openxmlformats.org/officeDocument/2006/relationships/hyperlink" Target="https://ftp.ibge.gov.br/Pib_Municipios/2022_2023/base/base_de_dados_2010_2023_xlsx.zip" TargetMode="External"/><Relationship Id="rId654" Type="http://schemas.openxmlformats.org/officeDocument/2006/relationships/hyperlink" Target="https://apidatalake.tesouro.gov.br/ords/cdwhprd/siconfi/tt/rgf?an_exercicio=2025&amp;in_periodicidade=Q&amp;nr_periodo=3&amp;co_tipo_demonstrativo=RGF&amp;no_anexo=RGF-Anexo+01&amp;co_poder=E&amp;id_ente=2307304" TargetMode="External"/><Relationship Id="rId46" Type="http://schemas.openxmlformats.org/officeDocument/2006/relationships/hyperlink" Target="https://www.argentina.gob.ar/sites/default/files/serie_ron_2003_2025.csv" TargetMode="External"/><Relationship Id="rId293" Type="http://schemas.openxmlformats.org/officeDocument/2006/relationships/hyperlink" Target="https://ftp.ibge.gov.br/Pib_Municipios/2022_2023/base/base_de_dados_2010_2023_xlsx.zip" TargetMode="External"/><Relationship Id="rId307" Type="http://schemas.openxmlformats.org/officeDocument/2006/relationships/hyperlink" Target="https://apidatalake.tesouro.gov.br/ords/cdwhprd/siconfi/tt/rgf?an_exercicio=2016&amp;in_periodicidade=Q&amp;nr_periodo=3&amp;co_tipo_demonstrativo=RGF&amp;no_anexo=RGF-Anexo+01&amp;co_poder=E&amp;id_ente=2304400" TargetMode="External"/><Relationship Id="rId349" Type="http://schemas.openxmlformats.org/officeDocument/2006/relationships/hyperlink" Target="https://apidatalake.tesouro.gov.br/ords/cdwhprd/siconfi/tt/dca?an_exercicio=2018&amp;id_ente=2304400&amp;no_anexo=DCA-Anexo+I-C" TargetMode="External"/><Relationship Id="rId514" Type="http://schemas.openxmlformats.org/officeDocument/2006/relationships/hyperlink" Target="https://apidatalake.tesouro.gov.br/ords/cdwhprd/siconfi/tt/rgf?an_exercicio=2016&amp;in_periodicidade=Q&amp;nr_periodo=3&amp;co_tipo_demonstrativo=RGF&amp;no_anexo=RGF-Anexo+01&amp;co_poder=E&amp;id_ente=2307304" TargetMode="External"/><Relationship Id="rId556" Type="http://schemas.openxmlformats.org/officeDocument/2006/relationships/hyperlink" Target="https://apidatalake.tesouro.gov.br/ords/cdwhprd/siconfi/tt/dca?an_exercicio=2019&amp;id_ente=2307304&amp;no_anexo=DCA-Anexo+I-D" TargetMode="External"/><Relationship Id="rId88" Type="http://schemas.openxmlformats.org/officeDocument/2006/relationships/hyperlink" Target="https://www.imf.org/external/datamapper/api/v2/NGDP_RPCH/ARG?periods=2016,2017,2018,2019,2020,2021,2022,2023,2024,2025" TargetMode="External"/><Relationship Id="rId111" Type="http://schemas.openxmlformats.org/officeDocument/2006/relationships/hyperlink" Target="https://www.imf.org/external/datamapper/api/v2/NGDPD/ARG?periods=2016,2017,2018,2019,2020,2021,2022,2023,2024,2025" TargetMode="External"/><Relationship Id="rId153" Type="http://schemas.openxmlformats.org/officeDocument/2006/relationships/hyperlink" Target="https://servicodados.ibge.gov.br/api/v3/agregados/1737/metadados" TargetMode="External"/><Relationship Id="rId195" Type="http://schemas.openxmlformats.org/officeDocument/2006/relationships/hyperlink" Target="https://servicodados.ibge.gov.br/api/v3/agregados/1737/metadados" TargetMode="External"/><Relationship Id="rId209" Type="http://schemas.openxmlformats.org/officeDocument/2006/relationships/hyperlink" Target="https://servicodados.ibge.gov.br/api/v3/agregados/1737/metadados" TargetMode="External"/><Relationship Id="rId360" Type="http://schemas.openxmlformats.org/officeDocument/2006/relationships/hyperlink" Target="https://download.inep.gov.br/ideb/resultados/divulgacao_anos_iniciais_municipios_2025.zip" TargetMode="External"/><Relationship Id="rId416" Type="http://schemas.openxmlformats.org/officeDocument/2006/relationships/hyperlink" Target="https://apidatalake.tesouro.gov.br/ords/cdwhprd/siconfi/tt/dca?an_exercicio=2022&amp;id_ente=2304400&amp;no_anexo=DCA-Anexo+I-C" TargetMode="External"/><Relationship Id="rId598" Type="http://schemas.openxmlformats.org/officeDocument/2006/relationships/hyperlink" Target="https://ftp.ibge.gov.br/Pib_Municipios/2022_2023/base/base_de_dados_2010_2023_xlsx.zip" TargetMode="External"/><Relationship Id="rId220" Type="http://schemas.openxmlformats.org/officeDocument/2006/relationships/hyperlink" Target="https://servicodados.ibge.gov.br/api/v3/agregados/1737/metadados" TargetMode="External"/><Relationship Id="rId458" Type="http://schemas.openxmlformats.org/officeDocument/2006/relationships/hyperlink" Target="https://download.inep.gov.br/ideb/resultados/divulgacao_anos_iniciais_municipios_2025.zip" TargetMode="External"/><Relationship Id="rId623" Type="http://schemas.openxmlformats.org/officeDocument/2006/relationships/hyperlink" Target="https://apidatalake.tesouro.gov.br/ords/cdwhprd/siconfi/tt/dca?an_exercicio=2023&amp;id_ente=2307304&amp;no_anexo=DCA-Anexo+I-C" TargetMode="External"/><Relationship Id="rId665" Type="http://schemas.openxmlformats.org/officeDocument/2006/relationships/hyperlink" Target="https://apidatalake.tesouro.gov.br/ords/cdwhprd/siconfi/tt/rgf?an_exercicio=2025&amp;in_periodicidade=Q&amp;nr_periodo=3&amp;co_tipo_demonstrativo=RGF&amp;no_anexo=RGF-Anexo+01&amp;co_poder=E&amp;id_ente=2307304" TargetMode="External"/><Relationship Id="rId15" Type="http://schemas.openxmlformats.org/officeDocument/2006/relationships/hyperlink" Target="https://www.imf.org/external/datamapper/api/v2/NGDPD/ARG?periods=2016,2017,2018,2019,2020,2021,2022,2023,2024,2025" TargetMode="External"/><Relationship Id="rId57" Type="http://schemas.openxmlformats.org/officeDocument/2006/relationships/hyperlink" Target="https://www.imf.org/external/datamapper/api/v2/LP/ARG?periods=2016,2017,2018,2019,2020,2021,2022,2023,2024,2025" TargetMode="External"/><Relationship Id="rId262" Type="http://schemas.openxmlformats.org/officeDocument/2006/relationships/hyperlink" Target="https://servicodados.ibge.gov.br/api/v3/agregados/1737/metadados" TargetMode="External"/><Relationship Id="rId318" Type="http://schemas.openxmlformats.org/officeDocument/2006/relationships/hyperlink" Target="https://apidatalake.tesouro.gov.br/ords/cdwhprd/siconfi/tt/dca?an_exercicio=2017&amp;id_ente=2304400&amp;no_anexo=DCA-Anexo+I-C" TargetMode="External"/><Relationship Id="rId525" Type="http://schemas.openxmlformats.org/officeDocument/2006/relationships/hyperlink" Target="https://apidatalake.tesouro.gov.br/ords/cdwhprd/siconfi/tt/rgf?an_exercicio=2017&amp;in_periodicidade=Q&amp;nr_periodo=3&amp;co_tipo_demonstrativo=RGF&amp;no_anexo=RGF-Anexo+01&amp;co_poder=E&amp;id_ente=2307304" TargetMode="External"/><Relationship Id="rId567" Type="http://schemas.openxmlformats.org/officeDocument/2006/relationships/hyperlink" Target="https://apidatalake.tesouro.gov.br/ords/cdwhprd/siconfi/tt/rgf?an_exercicio=2019&amp;in_periodicidade=Q&amp;nr_periodo=3&amp;co_tipo_demonstrativo=RGF&amp;no_anexo=RGF-Anexo+01&amp;co_poder=E&amp;id_ente=2307304" TargetMode="External"/><Relationship Id="rId99" Type="http://schemas.openxmlformats.org/officeDocument/2006/relationships/hyperlink" Target="https://www.imf.org/external/datamapper/api/v2/NGDPD/ARG?periods=2016,2017,2018,2019,2020,2021,2022,2023,2024,2025" TargetMode="External"/><Relationship Id="rId122" Type="http://schemas.openxmlformats.org/officeDocument/2006/relationships/hyperlink" Target="https://servicodados.ibge.gov.br/api/v3/agregados/1737/metadados" TargetMode="External"/><Relationship Id="rId164" Type="http://schemas.openxmlformats.org/officeDocument/2006/relationships/hyperlink" Target="https://servicodados.ibge.gov.br/api/v3/agregados/1737/metadados" TargetMode="External"/><Relationship Id="rId371" Type="http://schemas.openxmlformats.org/officeDocument/2006/relationships/hyperlink" Target="https://apidatalake.tesouro.gov.br/ords/cdwhprd/siconfi/tt/dca?an_exercicio=2020&amp;id_ente=2304400&amp;no_anexo=DCA-Anexo+I-C" TargetMode="External"/><Relationship Id="rId427" Type="http://schemas.openxmlformats.org/officeDocument/2006/relationships/hyperlink" Target="https://download.inep.gov.br/ideb/resultados/divulgacao_anos_finais_municipios_2025.zip" TargetMode="External"/><Relationship Id="rId469" Type="http://schemas.openxmlformats.org/officeDocument/2006/relationships/hyperlink" Target="https://download.inep.gov.br/ideb/resultados/divulgacao_anos_iniciais_municipios_2025.zip" TargetMode="External"/><Relationship Id="rId634" Type="http://schemas.openxmlformats.org/officeDocument/2006/relationships/hyperlink" Target="https://apisidra.ibge.gov.br/values/t/6579/p/2016-2025/v/9324/n6/2307304" TargetMode="External"/><Relationship Id="rId26" Type="http://schemas.openxmlformats.org/officeDocument/2006/relationships/hyperlink" Target="https://www.imf.org/external/datamapper/api/v2/PCPIPCH/ARG?periods=2016,2017,2018,2019,2020,2021,2022,2023,2024,2025" TargetMode="External"/><Relationship Id="rId231" Type="http://schemas.openxmlformats.org/officeDocument/2006/relationships/hyperlink" Target="https://servicodados.ibge.gov.br/api/v3/agregados/1737/metadados" TargetMode="External"/><Relationship Id="rId273" Type="http://schemas.openxmlformats.org/officeDocument/2006/relationships/hyperlink" Target="https://download.inep.gov.br/ideb/resultados/divulgacao_anos_finais_municipios_2025.zip" TargetMode="External"/><Relationship Id="rId329" Type="http://schemas.openxmlformats.org/officeDocument/2006/relationships/hyperlink" Target="https://apisidra.ibge.gov.br/values/t/6579/p/2016-2025/v/9324/n6/2304400" TargetMode="External"/><Relationship Id="rId480" Type="http://schemas.openxmlformats.org/officeDocument/2006/relationships/hyperlink" Target="https://ftp.ibge.gov.br/Pib_Municipios/2022_2023/base/base_de_dados_2010_2023_xlsx.zip" TargetMode="External"/><Relationship Id="rId536" Type="http://schemas.openxmlformats.org/officeDocument/2006/relationships/hyperlink" Target="https://apidatalake.tesouro.gov.br/ords/cdwhprd/siconfi/tt/dca?an_exercicio=2017&amp;id_ente=2307304&amp;no_anexo=DCA-Anexo+I-C" TargetMode="External"/><Relationship Id="rId68" Type="http://schemas.openxmlformats.org/officeDocument/2006/relationships/hyperlink" Target="https://www.imf.org/external/datamapper/api/v2/GGXCNL_G01_GDP_PT/ARG?periods=2016,2017,2018,2019,2020,2021,2022,2023,2024,2025" TargetMode="External"/><Relationship Id="rId133" Type="http://schemas.openxmlformats.org/officeDocument/2006/relationships/hyperlink" Target="https://servicodados.ibge.gov.br/api/v3/agregados/1737/metadados" TargetMode="External"/><Relationship Id="rId175" Type="http://schemas.openxmlformats.org/officeDocument/2006/relationships/hyperlink" Target="https://servicodados.ibge.gov.br/api/v3/agregados/1737/metadados" TargetMode="External"/><Relationship Id="rId340" Type="http://schemas.openxmlformats.org/officeDocument/2006/relationships/hyperlink" Target="https://apidatalake.tesouro.gov.br/ords/cdwhprd/siconfi/tt/dca?an_exercicio=2018&amp;id_ente=2304400&amp;no_anexo=DCA-Anexo+I-D" TargetMode="External"/><Relationship Id="rId578" Type="http://schemas.openxmlformats.org/officeDocument/2006/relationships/hyperlink" Target="https://apidatalake.tesouro.gov.br/ords/cdwhprd/siconfi/tt/rgf?an_exercicio=2020&amp;in_periodicidade=Q&amp;nr_periodo=3&amp;co_tipo_demonstrativo=RGF&amp;no_anexo=RGF-Anexo+01&amp;co_poder=E&amp;id_ente=2307304" TargetMode="External"/><Relationship Id="rId200" Type="http://schemas.openxmlformats.org/officeDocument/2006/relationships/hyperlink" Target="https://servicodados.ibge.gov.br/api/v3/agregados/1737/metadados" TargetMode="External"/><Relationship Id="rId382" Type="http://schemas.openxmlformats.org/officeDocument/2006/relationships/hyperlink" Target="https://apidatalake.tesouro.gov.br/ords/cdwhprd/siconfi/tt/dca?an_exercicio=2020&amp;id_ente=2304400&amp;no_anexo=DCA-Anexo+I-C" TargetMode="External"/><Relationship Id="rId438" Type="http://schemas.openxmlformats.org/officeDocument/2006/relationships/hyperlink" Target="https://apidatalake.tesouro.gov.br/ords/cdwhprd/siconfi/tt/rgf?an_exercicio=2024&amp;in_periodicidade=Q&amp;nr_periodo=3&amp;co_tipo_demonstrativo=RGF&amp;no_anexo=RGF-Anexo+01&amp;co_poder=E&amp;id_ente=2304400" TargetMode="External"/><Relationship Id="rId603" Type="http://schemas.openxmlformats.org/officeDocument/2006/relationships/hyperlink" Target="https://apidatalake.tesouro.gov.br/ords/cdwhprd/siconfi/tt/dca?an_exercicio=2021&amp;id_ente=2307304&amp;no_anexo=DCA-Anexo+I-C" TargetMode="External"/><Relationship Id="rId645" Type="http://schemas.openxmlformats.org/officeDocument/2006/relationships/hyperlink" Target="https://apidatalake.tesouro.gov.br/ords/cdwhprd/siconfi/tt/dca?an_exercicio=2024&amp;id_ente=2307304&amp;no_anexo=DCA-Anexo+I-D" TargetMode="External"/><Relationship Id="rId242" Type="http://schemas.openxmlformats.org/officeDocument/2006/relationships/hyperlink" Target="https://servicodados.ibge.gov.br/api/v3/agregados/1737/metadados" TargetMode="External"/><Relationship Id="rId284" Type="http://schemas.openxmlformats.org/officeDocument/2006/relationships/hyperlink" Target="https://ftp.ibge.gov.br/Pib_Municipios/2022_2023/base/base_de_dados_2010_2023_xlsx.zip" TargetMode="External"/><Relationship Id="rId491" Type="http://schemas.openxmlformats.org/officeDocument/2006/relationships/hyperlink" Target="https://download.inep.gov.br/ideb/resultados/divulgacao_anos_iniciais_municipios_2025.zip" TargetMode="External"/><Relationship Id="rId505" Type="http://schemas.openxmlformats.org/officeDocument/2006/relationships/hyperlink" Target="https://apidatalake.tesouro.gov.br/ords/cdwhprd/siconfi/tt/rgf?an_exercicio=2016&amp;in_periodicidade=Q&amp;nr_periodo=3&amp;co_tipo_demonstrativo=RGF&amp;no_anexo=RGF-Anexo+01&amp;co_poder=E&amp;id_ente=2307304" TargetMode="External"/><Relationship Id="rId37" Type="http://schemas.openxmlformats.org/officeDocument/2006/relationships/hyperlink" Target="https://contenidos.afip.gob.ar/institucional/estudios/archivos/serie2019.xls" TargetMode="External"/><Relationship Id="rId79" Type="http://schemas.openxmlformats.org/officeDocument/2006/relationships/hyperlink" Target="https://www.argentina.gob.ar/noticias/en-el-ano-2025-el-sector-publico-nacional-registro-un-superavit-financiero-de-1453819" TargetMode="External"/><Relationship Id="rId102" Type="http://schemas.openxmlformats.org/officeDocument/2006/relationships/hyperlink" Target="https://www.imf.org/external/datamapper/api/v2/GGXWDG_NGDP/ARG?periods=2016,2017,2018,2019,2020,2021,2022,2023,2024,2025" TargetMode="External"/><Relationship Id="rId144" Type="http://schemas.openxmlformats.org/officeDocument/2006/relationships/hyperlink" Target="https://servicodados.ibge.gov.br/api/v3/agregados/1737/metadados" TargetMode="External"/><Relationship Id="rId547" Type="http://schemas.openxmlformats.org/officeDocument/2006/relationships/hyperlink" Target="https://apisidra.ibge.gov.br/values/t/6579/p/2016-2025/v/9324/n6/2307304" TargetMode="External"/><Relationship Id="rId589" Type="http://schemas.openxmlformats.org/officeDocument/2006/relationships/hyperlink" Target="https://apidatalake.tesouro.gov.br/ords/cdwhprd/siconfi/tt/dca?an_exercicio=2021&amp;id_ente=2307304&amp;no_anexo=DCA-Anexo+I-C" TargetMode="External"/><Relationship Id="rId90" Type="http://schemas.openxmlformats.org/officeDocument/2006/relationships/hyperlink" Target="https://www.imf.org/external/datamapper/api/v2/GGXWDG_NGDP/ARG?periods=2016,2017,2018,2019,2020,2021,2022,2023,2024,2025" TargetMode="External"/><Relationship Id="rId186" Type="http://schemas.openxmlformats.org/officeDocument/2006/relationships/hyperlink" Target="https://servicodados.ibge.gov.br/api/v3/agregados/1737/metadados" TargetMode="External"/><Relationship Id="rId351" Type="http://schemas.openxmlformats.org/officeDocument/2006/relationships/hyperlink" Target="https://apidatalake.tesouro.gov.br/ords/cdwhprd/siconfi/tt/rgf?an_exercicio=2019&amp;in_periodicidade=Q&amp;nr_periodo=3&amp;co_tipo_demonstrativo=RGF&amp;no_anexo=RGF-Anexo+01&amp;co_poder=E&amp;id_ente=2304400" TargetMode="External"/><Relationship Id="rId393" Type="http://schemas.openxmlformats.org/officeDocument/2006/relationships/hyperlink" Target="https://download.inep.gov.br/ideb/resultados/divulgacao_anos_finais_municipios_2025.zip" TargetMode="External"/><Relationship Id="rId407" Type="http://schemas.openxmlformats.org/officeDocument/2006/relationships/hyperlink" Target="https://apidatalake.tesouro.gov.br/ords/cdwhprd/siconfi/tt/dca?an_exercicio=2022&amp;id_ente=2304400&amp;no_anexo=DCA-Anexo+I-D" TargetMode="External"/><Relationship Id="rId449" Type="http://schemas.openxmlformats.org/officeDocument/2006/relationships/hyperlink" Target="https://apidatalake.tesouro.gov.br/ords/cdwhprd/siconfi/tt/dca?an_exercicio=2024&amp;id_ente=2304400&amp;no_anexo=DCA-Anexo+I-C" TargetMode="External"/><Relationship Id="rId614" Type="http://schemas.openxmlformats.org/officeDocument/2006/relationships/hyperlink" Target="https://ftp.ibge.gov.br/Pib_Municipios/2022_2023/base/base_de_dados_2010_2023_xlsx.zip" TargetMode="External"/><Relationship Id="rId656" Type="http://schemas.openxmlformats.org/officeDocument/2006/relationships/hyperlink" Target="https://apidatalake.tesouro.gov.br/ords/cdwhprd/siconfi/tt/dca?an_exercicio=2025&amp;id_ente=2307304&amp;no_anexo=DCA-Anexo+I-D" TargetMode="External"/><Relationship Id="rId211" Type="http://schemas.openxmlformats.org/officeDocument/2006/relationships/hyperlink" Target="https://servicodados.ibge.gov.br/api/v3/agregados/1737/metadados" TargetMode="External"/><Relationship Id="rId253" Type="http://schemas.openxmlformats.org/officeDocument/2006/relationships/hyperlink" Target="https://servicodados.ibge.gov.br/api/v3/agregados/1737/metadados" TargetMode="External"/><Relationship Id="rId295" Type="http://schemas.openxmlformats.org/officeDocument/2006/relationships/hyperlink" Target="https://download.inep.gov.br/ideb/resultados/divulgacao_anos_finais_municipios_2025.zip" TargetMode="External"/><Relationship Id="rId309" Type="http://schemas.openxmlformats.org/officeDocument/2006/relationships/hyperlink" Target="https://ftp.ibge.gov.br/Pib_Municipios/2022_2023/base/base_de_dados_2010_2023_xlsx.zip" TargetMode="External"/><Relationship Id="rId460" Type="http://schemas.openxmlformats.org/officeDocument/2006/relationships/hyperlink" Target="https://download.inep.gov.br/ideb/resultados/divulgacao_anos_iniciais_municipios_2025.zip" TargetMode="External"/><Relationship Id="rId516" Type="http://schemas.openxmlformats.org/officeDocument/2006/relationships/hyperlink" Target="https://apidatalake.tesouro.gov.br/ords/cdwhprd/siconfi/tt/dca?an_exercicio=2016&amp;id_ente=2307304&amp;no_anexo=DCA-Anexo+I-C" TargetMode="External"/><Relationship Id="rId48" Type="http://schemas.openxmlformats.org/officeDocument/2006/relationships/hyperlink" Target="https://www.argentina.gob.ar/noticias/en-el-ano-2025-el-sector-publico-nacional-registro-un-superavit-financiero-de-1453819" TargetMode="External"/><Relationship Id="rId113" Type="http://schemas.openxmlformats.org/officeDocument/2006/relationships/hyperlink" Target="https://www.imf.org/external/datamapper/api/v2/exp/ARG?periods=2016,2017,2018,2019,2020,2021,2022,2023,2024,2025" TargetMode="External"/><Relationship Id="rId320" Type="http://schemas.openxmlformats.org/officeDocument/2006/relationships/hyperlink" Target="https://apidatalake.tesouro.gov.br/ords/cdwhprd/siconfi/tt/dca?an_exercicio=2017&amp;id_ente=2304400&amp;no_anexo=DCA-Anexo+I-D" TargetMode="External"/><Relationship Id="rId558" Type="http://schemas.openxmlformats.org/officeDocument/2006/relationships/hyperlink" Target="https://apidatalake.tesouro.gov.br/ords/cdwhprd/siconfi/tt/dca?an_exercicio=2019&amp;id_ente=2307304&amp;no_anexo=DCA-Anexo+I-D" TargetMode="External"/><Relationship Id="rId155" Type="http://schemas.openxmlformats.org/officeDocument/2006/relationships/hyperlink" Target="https://servicodados.ibge.gov.br/api/v3/agregados/1737/metadados" TargetMode="External"/><Relationship Id="rId197" Type="http://schemas.openxmlformats.org/officeDocument/2006/relationships/hyperlink" Target="https://servicodados.ibge.gov.br/api/v3/agregados/1737/metadados" TargetMode="External"/><Relationship Id="rId362" Type="http://schemas.openxmlformats.org/officeDocument/2006/relationships/hyperlink" Target="https://ftp.ibge.gov.br/Pib_Municipios/2022_2023/base/base_de_dados_2010_2023_xlsx.zip" TargetMode="External"/><Relationship Id="rId418" Type="http://schemas.openxmlformats.org/officeDocument/2006/relationships/hyperlink" Target="https://apidatalake.tesouro.gov.br/ords/cdwhprd/siconfi/tt/dca?an_exercicio=2023&amp;id_ente=2304400&amp;no_anexo=DCA-Anexo+I-C" TargetMode="External"/><Relationship Id="rId625" Type="http://schemas.openxmlformats.org/officeDocument/2006/relationships/hyperlink" Target="https://apidatalake.tesouro.gov.br/ords/cdwhprd/siconfi/tt/dca?an_exercicio=2023&amp;id_ente=2307304&amp;no_anexo=DCA-Anexo+I-D" TargetMode="External"/><Relationship Id="rId222" Type="http://schemas.openxmlformats.org/officeDocument/2006/relationships/hyperlink" Target="https://servicodados.ibge.gov.br/api/v3/agregados/1737/metadados" TargetMode="External"/><Relationship Id="rId264" Type="http://schemas.openxmlformats.org/officeDocument/2006/relationships/hyperlink" Target="https://servicodados.ibge.gov.br/api/v3/agregados/1737/metadados" TargetMode="External"/><Relationship Id="rId471" Type="http://schemas.openxmlformats.org/officeDocument/2006/relationships/hyperlink" Target="https://download.inep.gov.br/ideb/resultados/divulgacao_anos_iniciais_municipios_2025.zip" TargetMode="External"/><Relationship Id="rId667" Type="http://schemas.openxmlformats.org/officeDocument/2006/relationships/hyperlink" Target="https://apidatalake.tesouro.gov.br/ords/cdwhprd/siconfi/tt/dca?an_exercicio=2025&amp;id_ente=2307304&amp;no_anexo=DCA-Anexo+I-C" TargetMode="External"/><Relationship Id="rId17" Type="http://schemas.openxmlformats.org/officeDocument/2006/relationships/hyperlink" Target="https://www.imf.org/external/datamapper/api/v2/exp/ARG?periods=2016,2017,2018,2019,2020,2021,2022,2023,2024,2025" TargetMode="External"/><Relationship Id="rId59" Type="http://schemas.openxmlformats.org/officeDocument/2006/relationships/hyperlink" Target="https://www.argentina.gob.ar/noticias/en-el-ano-2025-el-sector-publico-nacional-registro-un-superavit-financiero-de-1453819" TargetMode="External"/><Relationship Id="rId124" Type="http://schemas.openxmlformats.org/officeDocument/2006/relationships/hyperlink" Target="https://servicodados.ibge.gov.br/api/v3/agregados/1737/metadados" TargetMode="External"/><Relationship Id="rId527" Type="http://schemas.openxmlformats.org/officeDocument/2006/relationships/hyperlink" Target="https://download.inep.gov.br/ideb/resultados/divulgacao_anos_iniciais_municipios_2025.zip" TargetMode="External"/><Relationship Id="rId569" Type="http://schemas.openxmlformats.org/officeDocument/2006/relationships/hyperlink" Target="https://apidatalake.tesouro.gov.br/ords/cdwhprd/siconfi/tt/dca?an_exercicio=2019&amp;id_ente=2307304&amp;no_anexo=DCA-Anexo+I-C" TargetMode="External"/><Relationship Id="rId70" Type="http://schemas.openxmlformats.org/officeDocument/2006/relationships/hyperlink" Target="https://www.argentina.gob.ar/sites/default/files/serie_ron_2003_2025.csv" TargetMode="External"/><Relationship Id="rId166" Type="http://schemas.openxmlformats.org/officeDocument/2006/relationships/hyperlink" Target="https://servicodados.ibge.gov.br/api/v3/agregados/1737/metadados" TargetMode="External"/><Relationship Id="rId331" Type="http://schemas.openxmlformats.org/officeDocument/2006/relationships/hyperlink" Target="https://apidatalake.tesouro.gov.br/ords/cdwhprd/siconfi/tt/rgf?an_exercicio=2017&amp;in_periodicidade=Q&amp;nr_periodo=3&amp;co_tipo_demonstrativo=RGF&amp;no_anexo=RGF-Anexo+01&amp;co_poder=E&amp;id_ente=2304400" TargetMode="External"/><Relationship Id="rId373" Type="http://schemas.openxmlformats.org/officeDocument/2006/relationships/hyperlink" Target="https://apidatalake.tesouro.gov.br/ords/cdwhprd/siconfi/tt/dca?an_exercicio=2020&amp;id_ente=2304400&amp;no_anexo=DCA-Anexo+I-D" TargetMode="External"/><Relationship Id="rId429" Type="http://schemas.openxmlformats.org/officeDocument/2006/relationships/hyperlink" Target="https://ftp.ibge.gov.br/Pib_Municipios/2022_2023/base/base_de_dados_2010_2023_xlsx.zip" TargetMode="External"/><Relationship Id="rId580" Type="http://schemas.openxmlformats.org/officeDocument/2006/relationships/hyperlink" Target="https://ftp.ibge.gov.br/Pib_Municipios/2022_2023/base/base_de_dados_2010_2023_xlsx.zip" TargetMode="External"/><Relationship Id="rId636" Type="http://schemas.openxmlformats.org/officeDocument/2006/relationships/hyperlink" Target="https://apidatalake.tesouro.gov.br/ords/cdwhprd/siconfi/tt/rgf?an_exercicio=2023&amp;in_periodicidade=Q&amp;nr_periodo=3&amp;co_tipo_demonstrativo=RGF&amp;no_anexo=RGF-Anexo+01&amp;co_poder=E&amp;id_ente=2307304" TargetMode="External"/><Relationship Id="rId1" Type="http://schemas.openxmlformats.org/officeDocument/2006/relationships/hyperlink" Target="https://contenidos.afip.gob.ar/institucional/estudios/archivos/serie2016.xls" TargetMode="External"/><Relationship Id="rId233" Type="http://schemas.openxmlformats.org/officeDocument/2006/relationships/hyperlink" Target="https://servicodados.ibge.gov.br/api/v3/agregados/1737/metadados" TargetMode="External"/><Relationship Id="rId440" Type="http://schemas.openxmlformats.org/officeDocument/2006/relationships/hyperlink" Target="https://apidatalake.tesouro.gov.br/ords/cdwhprd/siconfi/tt/dca?an_exercicio=2024&amp;id_ente=2304400&amp;no_anexo=DCA-Anexo+I-D" TargetMode="External"/><Relationship Id="rId28" Type="http://schemas.openxmlformats.org/officeDocument/2006/relationships/hyperlink" Target="https://www.imf.org/external/datamapper/api/v2/NGDP_RPCH/ARG?periods=2016,2017,2018,2019,2020,2021,2022,2023,2024,2025" TargetMode="External"/><Relationship Id="rId275" Type="http://schemas.openxmlformats.org/officeDocument/2006/relationships/hyperlink" Target="https://download.inep.gov.br/ideb/resultados/divulgacao_anos_finais_municipios_2025.zip" TargetMode="External"/><Relationship Id="rId300" Type="http://schemas.openxmlformats.org/officeDocument/2006/relationships/hyperlink" Target="https://ftp.ibge.gov.br/Pib_Municipios/2022_2023/base/base_de_dados_2010_2023_xlsx.zip" TargetMode="External"/><Relationship Id="rId482" Type="http://schemas.openxmlformats.org/officeDocument/2006/relationships/hyperlink" Target="https://download.inep.gov.br/ideb/resultados/divulgacao_anos_finais_municipios_2025.zip" TargetMode="External"/><Relationship Id="rId538" Type="http://schemas.openxmlformats.org/officeDocument/2006/relationships/hyperlink" Target="https://apidatalake.tesouro.gov.br/ords/cdwhprd/siconfi/tt/dca?an_exercicio=2018&amp;id_ente=2307304&amp;no_anexo=DCA-Anexo+I-C" TargetMode="External"/><Relationship Id="rId81" Type="http://schemas.openxmlformats.org/officeDocument/2006/relationships/hyperlink" Target="https://www.imf.org/external/datamapper/api/v2/LP/ARG?periods=2016,2017,2018,2019,2020,2021,2022,2023,2024,2025" TargetMode="External"/><Relationship Id="rId135" Type="http://schemas.openxmlformats.org/officeDocument/2006/relationships/hyperlink" Target="https://servicodados.ibge.gov.br/api/v3/agregados/1737/metadados" TargetMode="External"/><Relationship Id="rId177" Type="http://schemas.openxmlformats.org/officeDocument/2006/relationships/hyperlink" Target="https://servicodados.ibge.gov.br/api/v3/agregados/1737/metadados" TargetMode="External"/><Relationship Id="rId342" Type="http://schemas.openxmlformats.org/officeDocument/2006/relationships/hyperlink" Target="https://ftp.ibge.gov.br/Pib_Municipios/2022_2023/base/base_de_dados_2010_2023_xlsx.zip" TargetMode="External"/><Relationship Id="rId384" Type="http://schemas.openxmlformats.org/officeDocument/2006/relationships/hyperlink" Target="https://apidatalake.tesouro.gov.br/ords/cdwhprd/siconfi/tt/dca?an_exercicio=2021&amp;id_ente=2304400&amp;no_anexo=DCA-Anexo+I-C" TargetMode="External"/><Relationship Id="rId591" Type="http://schemas.openxmlformats.org/officeDocument/2006/relationships/hyperlink" Target="https://apidatalake.tesouro.gov.br/ords/cdwhprd/siconfi/tt/dca?an_exercicio=2021&amp;id_ente=2307304&amp;no_anexo=DCA-Anexo+I-D" TargetMode="External"/><Relationship Id="rId605" Type="http://schemas.openxmlformats.org/officeDocument/2006/relationships/hyperlink" Target="https://apidatalake.tesouro.gov.br/ords/cdwhprd/siconfi/tt/dca?an_exercicio=2021&amp;id_ente=2307304&amp;no_anexo=DCA-Anexo+I-C" TargetMode="External"/><Relationship Id="rId202" Type="http://schemas.openxmlformats.org/officeDocument/2006/relationships/hyperlink" Target="https://servicodados.ibge.gov.br/api/v3/agregados/1737/metadados" TargetMode="External"/><Relationship Id="rId244" Type="http://schemas.openxmlformats.org/officeDocument/2006/relationships/hyperlink" Target="https://servicodados.ibge.gov.br/api/v3/agregados/1737/metadados" TargetMode="External"/><Relationship Id="rId647" Type="http://schemas.openxmlformats.org/officeDocument/2006/relationships/hyperlink" Target="https://apisidra.ibge.gov.br/values/t/6579/p/2016-2025/v/9324/n6/2307304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servicodados.ibge.gov.br/api/v3/agregados/1737/metadados" TargetMode="External"/><Relationship Id="rId13" Type="http://schemas.openxmlformats.org/officeDocument/2006/relationships/hyperlink" Target="https://www.imf.org/external/datamapper/api/v2/PCPIPCH/ARG?periods=2016,2017,2018,2019,2020,2021,2022,2023,2024,2025" TargetMode="External"/><Relationship Id="rId18" Type="http://schemas.openxmlformats.org/officeDocument/2006/relationships/hyperlink" Target="https://www.imf.org/external/datamapper/api/v2/PCPIPCH/ARG?periods=2016,2017,2018,2019,2020,2021,2022,2023,2024,2025" TargetMode="External"/><Relationship Id="rId3" Type="http://schemas.openxmlformats.org/officeDocument/2006/relationships/hyperlink" Target="https://servicodados.ibge.gov.br/api/v3/agregados/1737/metadados" TargetMode="External"/><Relationship Id="rId21" Type="http://schemas.openxmlformats.org/officeDocument/2006/relationships/hyperlink" Target="https://www.imf.org/external/datamapper/api/v2/PCPIPCH/ARG?periods=2016,2017,2018,2019,2020,2021,2022,2023,2024,2025" TargetMode="External"/><Relationship Id="rId7" Type="http://schemas.openxmlformats.org/officeDocument/2006/relationships/hyperlink" Target="https://servicodados.ibge.gov.br/api/v3/agregados/1737/metadados" TargetMode="External"/><Relationship Id="rId12" Type="http://schemas.openxmlformats.org/officeDocument/2006/relationships/hyperlink" Target="https://servicodados.ibge.gov.br/api/v3/agregados/1737/metadados" TargetMode="External"/><Relationship Id="rId17" Type="http://schemas.openxmlformats.org/officeDocument/2006/relationships/hyperlink" Target="https://www.imf.org/external/datamapper/api/v2/PCPIPCH/ARG?periods=2016,2017,2018,2019,2020,2021,2022,2023,2024,2025" TargetMode="External"/><Relationship Id="rId2" Type="http://schemas.openxmlformats.org/officeDocument/2006/relationships/hyperlink" Target="https://servicodados.ibge.gov.br/api/v3/agregados/1737/metadados" TargetMode="External"/><Relationship Id="rId16" Type="http://schemas.openxmlformats.org/officeDocument/2006/relationships/hyperlink" Target="https://www.imf.org/external/datamapper/api/v2/PCPIPCH/ARG?periods=2016,2017,2018,2019,2020,2021,2022,2023,2024,2025" TargetMode="External"/><Relationship Id="rId20" Type="http://schemas.openxmlformats.org/officeDocument/2006/relationships/hyperlink" Target="https://www.imf.org/external/datamapper/api/v2/PCPIPCH/ARG?periods=2016,2017,2018,2019,2020,2021,2022,2023,2024,2025" TargetMode="External"/><Relationship Id="rId1" Type="http://schemas.openxmlformats.org/officeDocument/2006/relationships/hyperlink" Target="https://servicodados.ibge.gov.br/api/v3/agregados/1737/metadados" TargetMode="External"/><Relationship Id="rId6" Type="http://schemas.openxmlformats.org/officeDocument/2006/relationships/hyperlink" Target="https://servicodados.ibge.gov.br/api/v3/agregados/1737/metadados" TargetMode="External"/><Relationship Id="rId11" Type="http://schemas.openxmlformats.org/officeDocument/2006/relationships/hyperlink" Target="https://servicodados.ibge.gov.br/api/v3/agregados/1737/metadados" TargetMode="External"/><Relationship Id="rId5" Type="http://schemas.openxmlformats.org/officeDocument/2006/relationships/hyperlink" Target="https://servicodados.ibge.gov.br/api/v3/agregados/1737/metadados" TargetMode="External"/><Relationship Id="rId15" Type="http://schemas.openxmlformats.org/officeDocument/2006/relationships/hyperlink" Target="https://www.imf.org/external/datamapper/api/v2/PCPIPCH/ARG?periods=2016,2017,2018,2019,2020,2021,2022,2023,2024,2025" TargetMode="External"/><Relationship Id="rId10" Type="http://schemas.openxmlformats.org/officeDocument/2006/relationships/hyperlink" Target="https://servicodados.ibge.gov.br/api/v3/agregados/1737/metadados" TargetMode="External"/><Relationship Id="rId19" Type="http://schemas.openxmlformats.org/officeDocument/2006/relationships/hyperlink" Target="https://www.imf.org/external/datamapper/api/v2/PCPIPCH/ARG?periods=2016,2017,2018,2019,2020,2021,2022,2023,2024,2025" TargetMode="External"/><Relationship Id="rId4" Type="http://schemas.openxmlformats.org/officeDocument/2006/relationships/hyperlink" Target="https://servicodados.ibge.gov.br/api/v3/agregados/1737/metadados" TargetMode="External"/><Relationship Id="rId9" Type="http://schemas.openxmlformats.org/officeDocument/2006/relationships/hyperlink" Target="https://servicodados.ibge.gov.br/api/v3/agregados/1737/metadados" TargetMode="External"/><Relationship Id="rId14" Type="http://schemas.openxmlformats.org/officeDocument/2006/relationships/hyperlink" Target="https://www.imf.org/external/datamapper/api/v2/PCPIPCH/ARG?periods=2016,2017,2018,2019,2020,2021,2022,2023,2024,2025" TargetMode="External"/><Relationship Id="rId22" Type="http://schemas.openxmlformats.org/officeDocument/2006/relationships/hyperlink" Target="https://www.imf.org/external/datamapper/api/v2/PCPIPCH/ARG?periods=2016,2017,2018,2019,2020,2021,2022,2023,2024,2025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mf.org/external/datamapper/api/v2/LP/ARG?periods=2016,2017,2018,2019,2020,2021,2022,2023,2024,2025" TargetMode="External"/><Relationship Id="rId299" Type="http://schemas.openxmlformats.org/officeDocument/2006/relationships/hyperlink" Target="https://apidatalake.tesouro.gov.br/ords/cdwhprd/siconfi/tt/dca?an_exercicio=2023&amp;id_ente=2304400&amp;no_anexo=DCA-Anexo+I-C" TargetMode="External"/><Relationship Id="rId21" Type="http://schemas.openxmlformats.org/officeDocument/2006/relationships/hyperlink" Target="https://www.imf.org/external/datamapper/api/v2/LP/ARG?periods=2016,2017,2018,2019,2020,2021,2022,2023,2024,2025" TargetMode="External"/><Relationship Id="rId63" Type="http://schemas.openxmlformats.org/officeDocument/2006/relationships/hyperlink" Target="https://www.imf.org/external/datamapper/api/v2/NGDPD/ARG?periods=2016,2017,2018,2019,2020,2021,2022,2023,2024,2025" TargetMode="External"/><Relationship Id="rId159" Type="http://schemas.openxmlformats.org/officeDocument/2006/relationships/hyperlink" Target="https://ftp.ibge.gov.br/Pib_Municipios/2022_2023/base/base_de_dados_2010_2023_xlsx.zip" TargetMode="External"/><Relationship Id="rId324" Type="http://schemas.openxmlformats.org/officeDocument/2006/relationships/hyperlink" Target="https://apidatalake.tesouro.gov.br/ords/cdwhprd/siconfi/tt/dca?an_exercicio=2024&amp;id_ente=2304400&amp;no_anexo=DCA-Anexo+I-D" TargetMode="External"/><Relationship Id="rId366" Type="http://schemas.openxmlformats.org/officeDocument/2006/relationships/hyperlink" Target="https://download.inep.gov.br/ideb/resultados/divulgacao_anos_finais_municipios_2025.zip" TargetMode="External"/><Relationship Id="rId531" Type="http://schemas.openxmlformats.org/officeDocument/2006/relationships/hyperlink" Target="https://apidatalake.tesouro.gov.br/docs/siconfi/" TargetMode="External"/><Relationship Id="rId573" Type="http://schemas.openxmlformats.org/officeDocument/2006/relationships/hyperlink" Target="https://apidatalake.tesouro.gov.br/ords/cdwhprd/siconfi/tt/dca?an_exercicio=2025&amp;id_ente=2307304&amp;no_anexo=DCA-Anexo+I-D" TargetMode="External"/><Relationship Id="rId170" Type="http://schemas.openxmlformats.org/officeDocument/2006/relationships/hyperlink" Target="https://apidatalake.tesouro.gov.br/ords/cdwhprd/siconfi/tt/rgf?an_exercicio=2016&amp;in_periodicidade=Q&amp;nr_periodo=3&amp;co_tipo_demonstrativo=RGF&amp;no_anexo=RGF-Anexo+01&amp;co_poder=E&amp;id_ente=2304400" TargetMode="External"/><Relationship Id="rId226" Type="http://schemas.openxmlformats.org/officeDocument/2006/relationships/hyperlink" Target="https://apidatalake.tesouro.gov.br/ords/cdwhprd/siconfi/tt/dca?an_exercicio=2019&amp;id_ente=2304400&amp;no_anexo=DCA-Anexo+I-D" TargetMode="External"/><Relationship Id="rId433" Type="http://schemas.openxmlformats.org/officeDocument/2006/relationships/hyperlink" Target="https://ftp.ibge.gov.br/Pib_Municipios/2022_2023/base/base_de_dados_2010_2023_xlsx.zip" TargetMode="External"/><Relationship Id="rId268" Type="http://schemas.openxmlformats.org/officeDocument/2006/relationships/hyperlink" Target="https://download.inep.gov.br/ideb/resultados/divulgacao_anos_finais_municipios_2025.zip" TargetMode="External"/><Relationship Id="rId475" Type="http://schemas.openxmlformats.org/officeDocument/2006/relationships/hyperlink" Target="https://apidatalake.tesouro.gov.br/ords/cdwhprd/siconfi/tt/rgf?an_exercicio=2019&amp;in_periodicidade=Q&amp;nr_periodo=3&amp;co_tipo_demonstrativo=RGF&amp;no_anexo=RGF-Anexo+01&amp;co_poder=E&amp;id_ente=2307304" TargetMode="External"/><Relationship Id="rId32" Type="http://schemas.openxmlformats.org/officeDocument/2006/relationships/hyperlink" Target="https://www.imf.org/external/datamapper/api/v2/GGXCNL_G01_GDP_PT/ARG?periods=2016,2017,2018,2019,2020,2021,2022,2023,2024,2025" TargetMode="External"/><Relationship Id="rId74" Type="http://schemas.openxmlformats.org/officeDocument/2006/relationships/hyperlink" Target="https://www.imf.org/external/datamapper/api/v2/PCPIPCH/ARG?periods=2016,2017,2018,2019,2020,2021,2022,2023,2024,2025" TargetMode="External"/><Relationship Id="rId128" Type="http://schemas.openxmlformats.org/officeDocument/2006/relationships/hyperlink" Target="https://download.inep.gov.br/ideb/resultados/divulgacao_anos_iniciais_municipios_2025.zip" TargetMode="External"/><Relationship Id="rId335" Type="http://schemas.openxmlformats.org/officeDocument/2006/relationships/hyperlink" Target="https://apidatalake.tesouro.gov.br/ords/cdwhprd/siconfi/tt/dca?an_exercicio=2025&amp;id_ente=2304400&amp;no_anexo=DCA-Anexo+I-C" TargetMode="External"/><Relationship Id="rId377" Type="http://schemas.openxmlformats.org/officeDocument/2006/relationships/hyperlink" Target="https://download.inep.gov.br/ideb/resultados/divulgacao_anos_iniciais_municipios_2025.zip" TargetMode="External"/><Relationship Id="rId500" Type="http://schemas.openxmlformats.org/officeDocument/2006/relationships/hyperlink" Target="https://apidatalake.tesouro.gov.br/ords/cdwhprd/siconfi/tt/dca?an_exercicio=2021&amp;id_ente=2307304&amp;no_anexo=DCA-Anexo+I-D" TargetMode="External"/><Relationship Id="rId542" Type="http://schemas.openxmlformats.org/officeDocument/2006/relationships/hyperlink" Target="https://download.inep.gov.br/ideb/resultados/divulgacao_anos_iniciais_municipios_2025.zip" TargetMode="External"/><Relationship Id="rId584" Type="http://schemas.openxmlformats.org/officeDocument/2006/relationships/hyperlink" Target="https://apidatalake.tesouro.gov.br/ords/cdwhprd/siconfi/tt/rgf?an_exercicio=2025&amp;in_periodicidade=Q&amp;nr_periodo=3&amp;co_tipo_demonstrativo=RGF&amp;no_anexo=RGF-Anexo+01&amp;co_poder=E&amp;id_ente=2307304" TargetMode="External"/><Relationship Id="rId5" Type="http://schemas.openxmlformats.org/officeDocument/2006/relationships/hyperlink" Target="https://www.imf.org/external/datamapper/api/v2/exp/ARG?periods=2016,2017,2018,2019,2020,2021,2022,2023,2024,2025" TargetMode="External"/><Relationship Id="rId181" Type="http://schemas.openxmlformats.org/officeDocument/2006/relationships/hyperlink" Target="https://apidatalake.tesouro.gov.br/ords/cdwhprd/siconfi/tt/dca?an_exercicio=2016&amp;id_ente=2304400&amp;no_anexo=DCA-Anexo+I-C" TargetMode="External"/><Relationship Id="rId237" Type="http://schemas.openxmlformats.org/officeDocument/2006/relationships/hyperlink" Target="https://ftp.ibge.gov.br/Pib_Municipios/2022_2023/base/base_de_dados_2010_2023_xlsx.zip" TargetMode="External"/><Relationship Id="rId402" Type="http://schemas.openxmlformats.org/officeDocument/2006/relationships/hyperlink" Target="https://ftp.ibge.gov.br/Pib_Municipios/2022_2023/base/base_de_dados_2010_2023_xlsx.zip" TargetMode="External"/><Relationship Id="rId279" Type="http://schemas.openxmlformats.org/officeDocument/2006/relationships/hyperlink" Target="https://apidatalake.tesouro.gov.br/ords/cdwhprd/siconfi/tt/dca?an_exercicio=2021&amp;id_ente=2304400&amp;no_anexo=DCA-Anexo+I-C" TargetMode="External"/><Relationship Id="rId444" Type="http://schemas.openxmlformats.org/officeDocument/2006/relationships/hyperlink" Target="https://apidatalake.tesouro.gov.br/ords/cdwhprd/siconfi/tt/dca?an_exercicio=2018&amp;id_ente=2307304&amp;no_anexo=DCA-Anexo+I-C" TargetMode="External"/><Relationship Id="rId486" Type="http://schemas.openxmlformats.org/officeDocument/2006/relationships/hyperlink" Target="https://apidatalake.tesouro.gov.br/ords/cdwhprd/siconfi/tt/rgf?an_exercicio=2020&amp;in_periodicidade=Q&amp;nr_periodo=3&amp;co_tipo_demonstrativo=RGF&amp;no_anexo=RGF-Anexo+01&amp;co_poder=E&amp;id_ente=2307304" TargetMode="External"/><Relationship Id="rId43" Type="http://schemas.openxmlformats.org/officeDocument/2006/relationships/hyperlink" Target="https://www.argentina.gob.ar/noticias/en-el-ano-2025-el-sector-publico-nacional-registro-un-superavit-financiero-de-1453819" TargetMode="External"/><Relationship Id="rId139" Type="http://schemas.openxmlformats.org/officeDocument/2006/relationships/hyperlink" Target="https://ftp.ibge.gov.br/Pib_Municipios/2022_2023/base/base_de_dados_2010_2023_xlsx.zip" TargetMode="External"/><Relationship Id="rId290" Type="http://schemas.openxmlformats.org/officeDocument/2006/relationships/hyperlink" Target="https://ftp.ibge.gov.br/Pib_Municipios/2022_2023/base/base_de_dados_2010_2023_xlsx.zip" TargetMode="External"/><Relationship Id="rId304" Type="http://schemas.openxmlformats.org/officeDocument/2006/relationships/hyperlink" Target="https://apidatalake.tesouro.gov.br/ords/cdwhprd/siconfi/tt/dca?an_exercicio=2023&amp;id_ente=2304400&amp;no_anexo=DCA-Anexo+I-D" TargetMode="External"/><Relationship Id="rId346" Type="http://schemas.openxmlformats.org/officeDocument/2006/relationships/hyperlink" Target="https://download.inep.gov.br/ideb/resultados/divulgacao_anos_finais_municipios_2025.zip" TargetMode="External"/><Relationship Id="rId388" Type="http://schemas.openxmlformats.org/officeDocument/2006/relationships/hyperlink" Target="https://download.inep.gov.br/ideb/resultados/divulgacao_anos_finais_municipios_2025.zip" TargetMode="External"/><Relationship Id="rId511" Type="http://schemas.openxmlformats.org/officeDocument/2006/relationships/hyperlink" Target="https://apisidra.ibge.gov.br/values/t/6579/p/2016-2025/v/9324/n6/2307304" TargetMode="External"/><Relationship Id="rId553" Type="http://schemas.openxmlformats.org/officeDocument/2006/relationships/hyperlink" Target="https://apidatalake.tesouro.gov.br/docs/siconfi/" TargetMode="External"/><Relationship Id="rId85" Type="http://schemas.openxmlformats.org/officeDocument/2006/relationships/hyperlink" Target="https://contenidos.afip.gob.ar/institucional/estudios/archivos/serie2023.xls" TargetMode="External"/><Relationship Id="rId150" Type="http://schemas.openxmlformats.org/officeDocument/2006/relationships/hyperlink" Target="https://ftp.ibge.gov.br/Pib_Municipios/2022_2023/base/base_de_dados_2010_2023_xlsx.zip" TargetMode="External"/><Relationship Id="rId192" Type="http://schemas.openxmlformats.org/officeDocument/2006/relationships/hyperlink" Target="https://download.inep.gov.br/ideb/resultados/divulgacao_anos_finais_municipios_2025.zip" TargetMode="External"/><Relationship Id="rId206" Type="http://schemas.openxmlformats.org/officeDocument/2006/relationships/hyperlink" Target="https://apidatalake.tesouro.gov.br/ords/cdwhprd/siconfi/tt/dca?an_exercicio=2017&amp;id_ente=2304400&amp;no_anexo=DCA-Anexo+I-C" TargetMode="External"/><Relationship Id="rId413" Type="http://schemas.openxmlformats.org/officeDocument/2006/relationships/hyperlink" Target="https://apisidra.ibge.gov.br/values/t/6579/p/2016-2025/v/9324/n6/2307304" TargetMode="External"/><Relationship Id="rId248" Type="http://schemas.openxmlformats.org/officeDocument/2006/relationships/hyperlink" Target="https://apidatalake.tesouro.gov.br/ords/cdwhprd/siconfi/tt/dca?an_exercicio=2020&amp;id_ente=2304400&amp;no_anexo=DCA-Anexo+I-D" TargetMode="External"/><Relationship Id="rId455" Type="http://schemas.openxmlformats.org/officeDocument/2006/relationships/hyperlink" Target="https://apidatalake.tesouro.gov.br/docs/siconfi/" TargetMode="External"/><Relationship Id="rId497" Type="http://schemas.openxmlformats.org/officeDocument/2006/relationships/hyperlink" Target="https://apidatalake.tesouro.gov.br/ords/cdwhprd/siconfi/tt/rgf?an_exercicio=2021&amp;in_periodicidade=Q&amp;nr_periodo=3&amp;co_tipo_demonstrativo=RGF&amp;no_anexo=RGF-Anexo+01&amp;co_poder=E&amp;id_ente=2307304" TargetMode="External"/><Relationship Id="rId12" Type="http://schemas.openxmlformats.org/officeDocument/2006/relationships/hyperlink" Target="https://www.argentina.gob.ar/noticias/en-el-ano-2025-el-sector-publico-nacional-registro-un-superavit-financiero-de-1453819" TargetMode="External"/><Relationship Id="rId108" Type="http://schemas.openxmlformats.org/officeDocument/2006/relationships/hyperlink" Target="https://www.argentina.gob.ar/noticias/en-el-ano-2025-el-sector-publico-nacional-registro-un-superavit-financiero-de-1453819" TargetMode="External"/><Relationship Id="rId315" Type="http://schemas.openxmlformats.org/officeDocument/2006/relationships/hyperlink" Target="https://apidatalake.tesouro.gov.br/ords/cdwhprd/siconfi/tt/rgf?an_exercicio=2023&amp;in_periodicidade=Q&amp;nr_periodo=3&amp;co_tipo_demonstrativo=RGF&amp;no_anexo=RGF-Anexo+01&amp;co_poder=E&amp;id_ente=2304400" TargetMode="External"/><Relationship Id="rId357" Type="http://schemas.openxmlformats.org/officeDocument/2006/relationships/hyperlink" Target="https://download.inep.gov.br/ideb/resultados/divulgacao_anos_iniciais_municipios_2025.zip" TargetMode="External"/><Relationship Id="rId522" Type="http://schemas.openxmlformats.org/officeDocument/2006/relationships/hyperlink" Target="https://apidatalake.tesouro.gov.br/ords/cdwhprd/siconfi/tt/dca?an_exercicio=2022&amp;id_ente=2307304&amp;no_anexo=DCA-Anexo+I-D" TargetMode="External"/><Relationship Id="rId54" Type="http://schemas.openxmlformats.org/officeDocument/2006/relationships/hyperlink" Target="https://www.imf.org/external/datamapper/api/v2/GGXWDG_NGDP/ARG?periods=2016,2017,2018,2019,2020,2021,2022,2023,2024,2025" TargetMode="External"/><Relationship Id="rId96" Type="http://schemas.openxmlformats.org/officeDocument/2006/relationships/hyperlink" Target="https://www.argentina.gob.ar/noticias/en-el-ano-2025-el-sector-publico-nacional-registro-un-superavit-financiero-de-1453819" TargetMode="External"/><Relationship Id="rId161" Type="http://schemas.openxmlformats.org/officeDocument/2006/relationships/hyperlink" Target="https://download.inep.gov.br/ideb/resultados/divulgacao_anos_finais_municipios_2025.zip" TargetMode="External"/><Relationship Id="rId217" Type="http://schemas.openxmlformats.org/officeDocument/2006/relationships/hyperlink" Target="https://apidatalake.tesouro.gov.br/ords/cdwhprd/siconfi/tt/rgf?an_exercicio=2018&amp;in_periodicidade=Q&amp;nr_periodo=3&amp;co_tipo_demonstrativo=RGF&amp;no_anexo=RGF-Anexo+01&amp;co_poder=E&amp;id_ente=2304400" TargetMode="External"/><Relationship Id="rId399" Type="http://schemas.openxmlformats.org/officeDocument/2006/relationships/hyperlink" Target="https://download.inep.gov.br/ideb/resultados/divulgacao_anos_iniciais_municipios_2025.zip" TargetMode="External"/><Relationship Id="rId564" Type="http://schemas.openxmlformats.org/officeDocument/2006/relationships/hyperlink" Target="https://apidatalake.tesouro.gov.br/ords/cdwhprd/siconfi/tt/rgf?an_exercicio=2024&amp;in_periodicidade=Q&amp;nr_periodo=3&amp;co_tipo_demonstrativo=RGF&amp;no_anexo=RGF-Anexo+01&amp;co_poder=E&amp;id_ente=2307304" TargetMode="External"/><Relationship Id="rId259" Type="http://schemas.openxmlformats.org/officeDocument/2006/relationships/hyperlink" Target="https://apidatalake.tesouro.gov.br/ords/cdwhprd/siconfi/tt/dca?an_exercicio=2020&amp;id_ente=2304400&amp;no_anexo=DCA-Anexo+I-C" TargetMode="External"/><Relationship Id="rId424" Type="http://schemas.openxmlformats.org/officeDocument/2006/relationships/hyperlink" Target="https://apidatalake.tesouro.gov.br/ords/cdwhprd/siconfi/tt/dca?an_exercicio=2017&amp;id_ente=2307304&amp;no_anexo=DCA-Anexo+I-D" TargetMode="External"/><Relationship Id="rId466" Type="http://schemas.openxmlformats.org/officeDocument/2006/relationships/hyperlink" Target="https://download.inep.gov.br/ideb/resultados/divulgacao_anos_iniciais_municipios_2025.zip" TargetMode="External"/><Relationship Id="rId23" Type="http://schemas.openxmlformats.org/officeDocument/2006/relationships/hyperlink" Target="https://www.argentina.gob.ar/noticias/en-el-ano-2025-el-sector-publico-nacional-registro-un-superavit-financiero-de-1453819" TargetMode="External"/><Relationship Id="rId119" Type="http://schemas.openxmlformats.org/officeDocument/2006/relationships/hyperlink" Target="https://www.argentina.gob.ar/noticias/en-el-ano-2025-el-sector-publico-nacional-registro-un-superavit-financiero-de-1453819" TargetMode="External"/><Relationship Id="rId270" Type="http://schemas.openxmlformats.org/officeDocument/2006/relationships/hyperlink" Target="https://download.inep.gov.br/ideb/resultados/divulgacao_anos_finais_municipios_2025.zip" TargetMode="External"/><Relationship Id="rId326" Type="http://schemas.openxmlformats.org/officeDocument/2006/relationships/hyperlink" Target="https://apidatalake.tesouro.gov.br/ords/cdwhprd/siconfi/tt/dca?an_exercicio=2024&amp;id_ente=2304400&amp;no_anexo=DCA-Anexo+I-D" TargetMode="External"/><Relationship Id="rId533" Type="http://schemas.openxmlformats.org/officeDocument/2006/relationships/hyperlink" Target="https://apidatalake.tesouro.gov.br/ords/cdwhprd/siconfi/tt/dca?an_exercicio=2022&amp;id_ente=2307304&amp;no_anexo=DCA-Anexo+I-C" TargetMode="External"/><Relationship Id="rId65" Type="http://schemas.openxmlformats.org/officeDocument/2006/relationships/hyperlink" Target="https://www.imf.org/external/datamapper/api/v2/exp/ARG?periods=2016,2017,2018,2019,2020,2021,2022,2023,2024,2025" TargetMode="External"/><Relationship Id="rId130" Type="http://schemas.openxmlformats.org/officeDocument/2006/relationships/hyperlink" Target="https://download.inep.gov.br/ideb/resultados/divulgacao_anos_iniciais_municipios_2025.zip" TargetMode="External"/><Relationship Id="rId368" Type="http://schemas.openxmlformats.org/officeDocument/2006/relationships/hyperlink" Target="https://download.inep.gov.br/ideb/resultados/divulgacao_anos_finais_municipios_2025.zip" TargetMode="External"/><Relationship Id="rId575" Type="http://schemas.openxmlformats.org/officeDocument/2006/relationships/hyperlink" Target="https://apidatalake.tesouro.gov.br/ords/cdwhprd/siconfi/tt/dca?an_exercicio=2025&amp;id_ente=2307304&amp;no_anexo=DCA-Anexo+I-D" TargetMode="External"/><Relationship Id="rId172" Type="http://schemas.openxmlformats.org/officeDocument/2006/relationships/hyperlink" Target="https://apidatalake.tesouro.gov.br/ords/cdwhprd/siconfi/tt/dca?an_exercicio=2016&amp;id_ente=2304400&amp;no_anexo=DCA-Anexo+I-D" TargetMode="External"/><Relationship Id="rId228" Type="http://schemas.openxmlformats.org/officeDocument/2006/relationships/hyperlink" Target="https://apidatalake.tesouro.gov.br/ords/cdwhprd/siconfi/tt/dca?an_exercicio=2019&amp;id_ente=2304400&amp;no_anexo=DCA-Anexo+I-D" TargetMode="External"/><Relationship Id="rId435" Type="http://schemas.openxmlformats.org/officeDocument/2006/relationships/hyperlink" Target="https://apisidra.ibge.gov.br/values/t/6579/p/2016-2025/v/9324/n6/2307304" TargetMode="External"/><Relationship Id="rId477" Type="http://schemas.openxmlformats.org/officeDocument/2006/relationships/hyperlink" Target="https://apidatalake.tesouro.gov.br/docs/siconfi/" TargetMode="External"/><Relationship Id="rId281" Type="http://schemas.openxmlformats.org/officeDocument/2006/relationships/hyperlink" Target="https://apidatalake.tesouro.gov.br/ords/cdwhprd/siconfi/tt/dca?an_exercicio=2021&amp;id_ente=2304400&amp;no_anexo=DCA-Anexo+I-C" TargetMode="External"/><Relationship Id="rId337" Type="http://schemas.openxmlformats.org/officeDocument/2006/relationships/hyperlink" Target="https://apidatalake.tesouro.gov.br/ords/cdwhprd/siconfi/tt/dca?an_exercicio=2025&amp;id_ente=2304400&amp;no_anexo=DCA-Anexo+I-C" TargetMode="External"/><Relationship Id="rId502" Type="http://schemas.openxmlformats.org/officeDocument/2006/relationships/hyperlink" Target="https://apidatalake.tesouro.gov.br/ords/cdwhprd/siconfi/tt/rgf?an_exercicio=2021&amp;in_periodicidade=Q&amp;nr_periodo=3&amp;co_tipo_demonstrativo=RGF&amp;no_anexo=RGF-Anexo+01&amp;co_poder=E&amp;id_ente=2307304" TargetMode="External"/><Relationship Id="rId34" Type="http://schemas.openxmlformats.org/officeDocument/2006/relationships/hyperlink" Target="https://www.argentina.gob.ar/sites/default/files/serie_ron_2003_2025.csv" TargetMode="External"/><Relationship Id="rId76" Type="http://schemas.openxmlformats.org/officeDocument/2006/relationships/hyperlink" Target="https://www.imf.org/external/datamapper/api/v2/NGDP_RPCH/ARG?periods=2016,2017,2018,2019,2020,2021,2022,2023,2024,2025" TargetMode="External"/><Relationship Id="rId141" Type="http://schemas.openxmlformats.org/officeDocument/2006/relationships/hyperlink" Target="https://download.inep.gov.br/ideb/resultados/divulgacao_anos_finais_municipios_2025.zip" TargetMode="External"/><Relationship Id="rId379" Type="http://schemas.openxmlformats.org/officeDocument/2006/relationships/hyperlink" Target="https://download.inep.gov.br/ideb/resultados/divulgacao_anos_iniciais_municipios_2025.zip" TargetMode="External"/><Relationship Id="rId544" Type="http://schemas.openxmlformats.org/officeDocument/2006/relationships/hyperlink" Target="https://download.inep.gov.br/ideb/resultados/divulgacao_anos_iniciais_municipios_2025.zip" TargetMode="External"/><Relationship Id="rId586" Type="http://schemas.openxmlformats.org/officeDocument/2006/relationships/hyperlink" Target="https://apidatalake.tesouro.gov.br/ords/cdwhprd/siconfi/tt/dca?an_exercicio=2025&amp;id_ente=2307304&amp;no_anexo=DCA-Anexo+I-C" TargetMode="External"/><Relationship Id="rId7" Type="http://schemas.openxmlformats.org/officeDocument/2006/relationships/hyperlink" Target="https://www.argentina.gob.ar/noticias/en-el-ano-2025-el-sector-publico-nacional-registro-un-superavit-financiero-de-1453819" TargetMode="External"/><Relationship Id="rId183" Type="http://schemas.openxmlformats.org/officeDocument/2006/relationships/hyperlink" Target="https://apidatalake.tesouro.gov.br/ords/cdwhprd/siconfi/tt/dca?an_exercicio=2016&amp;id_ente=2304400&amp;no_anexo=DCA-Anexo+I-C" TargetMode="External"/><Relationship Id="rId239" Type="http://schemas.openxmlformats.org/officeDocument/2006/relationships/hyperlink" Target="https://apidatalake.tesouro.gov.br/ords/cdwhprd/siconfi/tt/rgf?an_exercicio=2019&amp;in_periodicidade=Q&amp;nr_periodo=3&amp;co_tipo_demonstrativo=RGF&amp;no_anexo=RGF-Anexo+01&amp;co_poder=E&amp;id_ente=2304400" TargetMode="External"/><Relationship Id="rId390" Type="http://schemas.openxmlformats.org/officeDocument/2006/relationships/hyperlink" Target="https://download.inep.gov.br/ideb/resultados/divulgacao_anos_finais_municipios_2025.zip" TargetMode="External"/><Relationship Id="rId404" Type="http://schemas.openxmlformats.org/officeDocument/2006/relationships/hyperlink" Target="https://apidatalake.tesouro.gov.br/ords/cdwhprd/siconfi/tt/dca?an_exercicio=2016&amp;id_ente=2307304&amp;no_anexo=DCA-Anexo+I-C" TargetMode="External"/><Relationship Id="rId446" Type="http://schemas.openxmlformats.org/officeDocument/2006/relationships/hyperlink" Target="https://apidatalake.tesouro.gov.br/ords/cdwhprd/siconfi/tt/dca?an_exercicio=2018&amp;id_ente=2307304&amp;no_anexo=DCA-Anexo+I-D" TargetMode="External"/><Relationship Id="rId250" Type="http://schemas.openxmlformats.org/officeDocument/2006/relationships/hyperlink" Target="https://apidatalake.tesouro.gov.br/ords/cdwhprd/siconfi/tt/dca?an_exercicio=2020&amp;id_ente=2304400&amp;no_anexo=DCA-Anexo+I-D" TargetMode="External"/><Relationship Id="rId292" Type="http://schemas.openxmlformats.org/officeDocument/2006/relationships/hyperlink" Target="https://www.ibge.gov.br/cidades-e-estados/ce/fortaleza.html" TargetMode="External"/><Relationship Id="rId306" Type="http://schemas.openxmlformats.org/officeDocument/2006/relationships/hyperlink" Target="https://download.inep.gov.br/ideb/resultados/divulgacao_anos_finais_municipios_2025.zip" TargetMode="External"/><Relationship Id="rId488" Type="http://schemas.openxmlformats.org/officeDocument/2006/relationships/hyperlink" Target="https://ftp.ibge.gov.br/Pib_Municipios/2022_2023/base/base_de_dados_2010_2023_xlsx.zip" TargetMode="External"/><Relationship Id="rId45" Type="http://schemas.openxmlformats.org/officeDocument/2006/relationships/hyperlink" Target="https://www.imf.org/external/datamapper/api/v2/LP/ARG?periods=2016,2017,2018,2019,2020,2021,2022,2023,2024,2025" TargetMode="External"/><Relationship Id="rId87" Type="http://schemas.openxmlformats.org/officeDocument/2006/relationships/hyperlink" Target="https://www.imf.org/external/datamapper/api/v2/NGDPD/ARG?periods=2016,2017,2018,2019,2020,2021,2022,2023,2024,2025" TargetMode="External"/><Relationship Id="rId110" Type="http://schemas.openxmlformats.org/officeDocument/2006/relationships/hyperlink" Target="https://www.imf.org/external/datamapper/api/v2/PCPIPCH/ARG?periods=2016,2017,2018,2019,2020,2021,2022,2023,2024,2025" TargetMode="External"/><Relationship Id="rId348" Type="http://schemas.openxmlformats.org/officeDocument/2006/relationships/hyperlink" Target="https://apisidra.ibge.gov.br/values/t/6579/p/2016-2025/v/9324/n6/2304400" TargetMode="External"/><Relationship Id="rId513" Type="http://schemas.openxmlformats.org/officeDocument/2006/relationships/hyperlink" Target="https://apidatalake.tesouro.gov.br/ords/cdwhprd/siconfi/tt/rgf?an_exercicio=2021&amp;in_periodicidade=Q&amp;nr_periodo=3&amp;co_tipo_demonstrativo=RGF&amp;no_anexo=RGF-Anexo+01&amp;co_poder=E&amp;id_ente=2307304" TargetMode="External"/><Relationship Id="rId555" Type="http://schemas.openxmlformats.org/officeDocument/2006/relationships/hyperlink" Target="https://apidatalake.tesouro.gov.br/ords/cdwhprd/siconfi/tt/dca?an_exercicio=2023&amp;id_ente=2307304&amp;no_anexo=DCA-Anexo+I-C" TargetMode="External"/><Relationship Id="rId152" Type="http://schemas.openxmlformats.org/officeDocument/2006/relationships/hyperlink" Target="https://download.inep.gov.br/ideb/resultados/divulgacao_anos_iniciais_municipios_2025.zip" TargetMode="External"/><Relationship Id="rId194" Type="http://schemas.openxmlformats.org/officeDocument/2006/relationships/hyperlink" Target="https://download.inep.gov.br/ideb/resultados/divulgacao_anos_finais_municipios_2025.zip" TargetMode="External"/><Relationship Id="rId208" Type="http://schemas.openxmlformats.org/officeDocument/2006/relationships/hyperlink" Target="https://apidatalake.tesouro.gov.br/ords/cdwhprd/siconfi/tt/rgf?an_exercicio=2018&amp;in_periodicidade=Q&amp;nr_periodo=3&amp;co_tipo_demonstrativo=RGF&amp;no_anexo=RGF-Anexo+01&amp;co_poder=E&amp;id_ente=2304400" TargetMode="External"/><Relationship Id="rId415" Type="http://schemas.openxmlformats.org/officeDocument/2006/relationships/hyperlink" Target="https://apidatalake.tesouro.gov.br/ords/cdwhprd/siconfi/tt/rgf?an_exercicio=2016&amp;in_periodicidade=Q&amp;nr_periodo=3&amp;co_tipo_demonstrativo=RGF&amp;no_anexo=RGF-Anexo+01&amp;co_poder=E&amp;id_ente=2307304" TargetMode="External"/><Relationship Id="rId457" Type="http://schemas.openxmlformats.org/officeDocument/2006/relationships/hyperlink" Target="https://apidatalake.tesouro.gov.br/ords/cdwhprd/siconfi/tt/dca?an_exercicio=2018&amp;id_ente=2307304&amp;no_anexo=DCA-Anexo+I-C" TargetMode="External"/><Relationship Id="rId261" Type="http://schemas.openxmlformats.org/officeDocument/2006/relationships/hyperlink" Target="https://apidatalake.tesouro.gov.br/ords/cdwhprd/siconfi/tt/dca?an_exercicio=2021&amp;id_ente=2304400&amp;no_anexo=DCA-Anexo+I-C" TargetMode="External"/><Relationship Id="rId499" Type="http://schemas.openxmlformats.org/officeDocument/2006/relationships/hyperlink" Target="https://apidatalake.tesouro.gov.br/ords/cdwhprd/siconfi/tt/dca?an_exercicio=2021&amp;id_ente=2307304&amp;no_anexo=DCA-Anexo+I-D" TargetMode="External"/><Relationship Id="rId14" Type="http://schemas.openxmlformats.org/officeDocument/2006/relationships/hyperlink" Target="https://www.imf.org/external/datamapper/api/v2/PCPIPCH/ARG?periods=2016,2017,2018,2019,2020,2021,2022,2023,2024,2025" TargetMode="External"/><Relationship Id="rId56" Type="http://schemas.openxmlformats.org/officeDocument/2006/relationships/hyperlink" Target="https://www.imf.org/external/datamapper/api/v2/GGXCNL_G01_GDP_PT/ARG?periods=2016,2017,2018,2019,2020,2021,2022,2023,2024,2025" TargetMode="External"/><Relationship Id="rId317" Type="http://schemas.openxmlformats.org/officeDocument/2006/relationships/hyperlink" Target="https://apidatalake.tesouro.gov.br/ords/cdwhprd/siconfi/tt/dca?an_exercicio=2023&amp;id_ente=2304400&amp;no_anexo=DCA-Anexo+I-C" TargetMode="External"/><Relationship Id="rId359" Type="http://schemas.openxmlformats.org/officeDocument/2006/relationships/hyperlink" Target="https://download.inep.gov.br/ideb/resultados/divulgacao_anos_iniciais_municipios_2025.zip" TargetMode="External"/><Relationship Id="rId524" Type="http://schemas.openxmlformats.org/officeDocument/2006/relationships/hyperlink" Target="https://apidatalake.tesouro.gov.br/ords/cdwhprd/siconfi/tt/rgf?an_exercicio=2022&amp;in_periodicidade=Q&amp;nr_periodo=3&amp;co_tipo_demonstrativo=RGF&amp;no_anexo=RGF-Anexo+01&amp;co_poder=E&amp;id_ente=2307304" TargetMode="External"/><Relationship Id="rId566" Type="http://schemas.openxmlformats.org/officeDocument/2006/relationships/hyperlink" Target="https://apidatalake.tesouro.gov.br/ords/cdwhprd/siconfi/tt/dca?an_exercicio=2024&amp;id_ente=2307304&amp;no_anexo=DCA-Anexo+I-C" TargetMode="External"/><Relationship Id="rId98" Type="http://schemas.openxmlformats.org/officeDocument/2006/relationships/hyperlink" Target="https://www.imf.org/external/datamapper/api/v2/PCPIPCH/ARG?periods=2016,2017,2018,2019,2020,2021,2022,2023,2024,2025" TargetMode="External"/><Relationship Id="rId121" Type="http://schemas.openxmlformats.org/officeDocument/2006/relationships/hyperlink" Target="https://download.inep.gov.br/ideb/resultados/divulgacao_anos_finais_municipios_2025.zip" TargetMode="External"/><Relationship Id="rId163" Type="http://schemas.openxmlformats.org/officeDocument/2006/relationships/hyperlink" Target="https://download.inep.gov.br/ideb/resultados/divulgacao_anos_finais_municipios_2025.zip" TargetMode="External"/><Relationship Id="rId219" Type="http://schemas.openxmlformats.org/officeDocument/2006/relationships/hyperlink" Target="https://apidatalake.tesouro.gov.br/ords/cdwhprd/siconfi/tt/dca?an_exercicio=2018&amp;id_ente=2304400&amp;no_anexo=DCA-Anexo+I-C" TargetMode="External"/><Relationship Id="rId370" Type="http://schemas.openxmlformats.org/officeDocument/2006/relationships/hyperlink" Target="https://download.inep.gov.br/ideb/resultados/divulgacao_anos_finais_municipios_2025.zip" TargetMode="External"/><Relationship Id="rId426" Type="http://schemas.openxmlformats.org/officeDocument/2006/relationships/hyperlink" Target="https://apidatalake.tesouro.gov.br/ords/cdwhprd/siconfi/tt/rgf?an_exercicio=2017&amp;in_periodicidade=Q&amp;nr_periodo=3&amp;co_tipo_demonstrativo=RGF&amp;no_anexo=RGF-Anexo+01&amp;co_poder=E&amp;id_ente=2307304" TargetMode="External"/><Relationship Id="rId230" Type="http://schemas.openxmlformats.org/officeDocument/2006/relationships/hyperlink" Target="https://download.inep.gov.br/ideb/resultados/divulgacao_anos_finais_municipios_2025.zip" TargetMode="External"/><Relationship Id="rId468" Type="http://schemas.openxmlformats.org/officeDocument/2006/relationships/hyperlink" Target="https://download.inep.gov.br/ideb/resultados/divulgacao_anos_iniciais_municipios_2025.zip" TargetMode="External"/><Relationship Id="rId25" Type="http://schemas.openxmlformats.org/officeDocument/2006/relationships/hyperlink" Target="https://contenidos.afip.gob.ar/institucional/estudios/archivos/serie2018.xls" TargetMode="External"/><Relationship Id="rId67" Type="http://schemas.openxmlformats.org/officeDocument/2006/relationships/hyperlink" Target="https://www.argentina.gob.ar/noticias/en-el-ano-2025-el-sector-publico-nacional-registro-un-superavit-financiero-de-1453819" TargetMode="External"/><Relationship Id="rId272" Type="http://schemas.openxmlformats.org/officeDocument/2006/relationships/hyperlink" Target="https://download.inep.gov.br/ideb/resultados/divulgacao_anos_finais_municipios_2025.zip" TargetMode="External"/><Relationship Id="rId328" Type="http://schemas.openxmlformats.org/officeDocument/2006/relationships/hyperlink" Target="https://apisidra.ibge.gov.br/values/t/6579/p/2016-2025/v/9324/n6/2304400" TargetMode="External"/><Relationship Id="rId535" Type="http://schemas.openxmlformats.org/officeDocument/2006/relationships/hyperlink" Target="https://apidatalake.tesouro.gov.br/ords/cdwhprd/siconfi/tt/rgf?an_exercicio=2023&amp;in_periodicidade=Q&amp;nr_periodo=3&amp;co_tipo_demonstrativo=RGF&amp;no_anexo=RGF-Anexo+01&amp;co_poder=E&amp;id_ente=2307304" TargetMode="External"/><Relationship Id="rId577" Type="http://schemas.openxmlformats.org/officeDocument/2006/relationships/hyperlink" Target="https://download.inep.gov.br/ideb/resultados/divulgacao_anos_finais_municipios_2025.zip" TargetMode="External"/><Relationship Id="rId132" Type="http://schemas.openxmlformats.org/officeDocument/2006/relationships/hyperlink" Target="https://download.inep.gov.br/ideb/resultados/divulgacao_anos_iniciais_municipios_2025.zip" TargetMode="External"/><Relationship Id="rId174" Type="http://schemas.openxmlformats.org/officeDocument/2006/relationships/hyperlink" Target="https://apidatalake.tesouro.gov.br/ords/cdwhprd/siconfi/tt/dca?an_exercicio=2016&amp;id_ente=2304400&amp;no_anexo=DCA-Anexo+I-D" TargetMode="External"/><Relationship Id="rId381" Type="http://schemas.openxmlformats.org/officeDocument/2006/relationships/hyperlink" Target="https://download.inep.gov.br/ideb/resultados/divulgacao_anos_iniciais_municipios_2025.zip" TargetMode="External"/><Relationship Id="rId241" Type="http://schemas.openxmlformats.org/officeDocument/2006/relationships/hyperlink" Target="https://apidatalake.tesouro.gov.br/ords/cdwhprd/siconfi/tt/dca?an_exercicio=2019&amp;id_ente=2304400&amp;no_anexo=DCA-Anexo+I-C" TargetMode="External"/><Relationship Id="rId437" Type="http://schemas.openxmlformats.org/officeDocument/2006/relationships/hyperlink" Target="https://apidatalake.tesouro.gov.br/ords/cdwhprd/siconfi/tt/rgf?an_exercicio=2017&amp;in_periodicidade=Q&amp;nr_periodo=3&amp;co_tipo_demonstrativo=RGF&amp;no_anexo=RGF-Anexo+01&amp;co_poder=E&amp;id_ente=2307304" TargetMode="External"/><Relationship Id="rId479" Type="http://schemas.openxmlformats.org/officeDocument/2006/relationships/hyperlink" Target="https://apidatalake.tesouro.gov.br/ords/cdwhprd/siconfi/tt/dca?an_exercicio=2019&amp;id_ente=2307304&amp;no_anexo=DCA-Anexo+I-C" TargetMode="External"/><Relationship Id="rId36" Type="http://schemas.openxmlformats.org/officeDocument/2006/relationships/hyperlink" Target="https://www.argentina.gob.ar/noticias/en-el-ano-2025-el-sector-publico-nacional-registro-un-superavit-financiero-de-1453819" TargetMode="External"/><Relationship Id="rId283" Type="http://schemas.openxmlformats.org/officeDocument/2006/relationships/hyperlink" Target="https://apidatalake.tesouro.gov.br/ords/cdwhprd/siconfi/tt/dca?an_exercicio=2022&amp;id_ente=2304400&amp;no_anexo=DCA-Anexo+I-C" TargetMode="External"/><Relationship Id="rId339" Type="http://schemas.openxmlformats.org/officeDocument/2006/relationships/hyperlink" Target="https://apidatalake.tesouro.gov.br/ords/cdwhprd/siconfi/tt/dca?an_exercicio=2025&amp;id_ente=2304400&amp;no_anexo=DCA-Anexo+I-D" TargetMode="External"/><Relationship Id="rId490" Type="http://schemas.openxmlformats.org/officeDocument/2006/relationships/hyperlink" Target="https://apidatalake.tesouro.gov.br/ords/cdwhprd/siconfi/tt/rgf?an_exercicio=2020&amp;in_periodicidade=Q&amp;nr_periodo=3&amp;co_tipo_demonstrativo=RGF&amp;no_anexo=RGF-Anexo+01&amp;co_poder=E&amp;id_ente=2307304" TargetMode="External"/><Relationship Id="rId504" Type="http://schemas.openxmlformats.org/officeDocument/2006/relationships/hyperlink" Target="https://download.inep.gov.br/ideb/resultados/divulgacao_anos_iniciais_municipios_2025.zip" TargetMode="External"/><Relationship Id="rId546" Type="http://schemas.openxmlformats.org/officeDocument/2006/relationships/hyperlink" Target="https://download.inep.gov.br/ideb/resultados/divulgacao_anos_iniciais_municipios_2025.zip" TargetMode="External"/><Relationship Id="rId78" Type="http://schemas.openxmlformats.org/officeDocument/2006/relationships/hyperlink" Target="https://www.imf.org/external/datamapper/api/v2/GGXWDG_NGDP/ARG?periods=2016,2017,2018,2019,2020,2021,2022,2023,2024,2025" TargetMode="External"/><Relationship Id="rId101" Type="http://schemas.openxmlformats.org/officeDocument/2006/relationships/hyperlink" Target="https://www.imf.org/external/datamapper/api/v2/exp/ARG?periods=2016,2017,2018,2019,2020,2021,2022,2023,2024,2025" TargetMode="External"/><Relationship Id="rId143" Type="http://schemas.openxmlformats.org/officeDocument/2006/relationships/hyperlink" Target="https://download.inep.gov.br/ideb/resultados/divulgacao_anos_finais_municipios_2025.zip" TargetMode="External"/><Relationship Id="rId185" Type="http://schemas.openxmlformats.org/officeDocument/2006/relationships/hyperlink" Target="https://apidatalake.tesouro.gov.br/ords/cdwhprd/siconfi/tt/dca?an_exercicio=2017&amp;id_ente=2304400&amp;no_anexo=DCA-Anexo+I-C" TargetMode="External"/><Relationship Id="rId350" Type="http://schemas.openxmlformats.org/officeDocument/2006/relationships/hyperlink" Target="https://apidatalake.tesouro.gov.br/ords/cdwhprd/siconfi/tt/rgf?an_exercicio=2025&amp;in_periodicidade=Q&amp;nr_periodo=3&amp;co_tipo_demonstrativo=RGF&amp;no_anexo=RGF-Anexo+01&amp;co_poder=E&amp;id_ente=2304400" TargetMode="External"/><Relationship Id="rId406" Type="http://schemas.openxmlformats.org/officeDocument/2006/relationships/hyperlink" Target="https://apidatalake.tesouro.gov.br/ords/cdwhprd/siconfi/tt/dca?an_exercicio=2016&amp;id_ente=2307304&amp;no_anexo=DCA-Anexo+I-C" TargetMode="External"/><Relationship Id="rId588" Type="http://schemas.openxmlformats.org/officeDocument/2006/relationships/hyperlink" Target="https://apidatalake.tesouro.gov.br/ords/cdwhprd/siconfi/tt/dca?an_exercicio=2025&amp;id_ente=2307304&amp;no_anexo=DCA-Anexo+I-C" TargetMode="External"/><Relationship Id="rId9" Type="http://schemas.openxmlformats.org/officeDocument/2006/relationships/hyperlink" Target="https://www.imf.org/external/datamapper/api/v2/LP/ARG?periods=2016,2017,2018,2019,2020,2021,2022,2023,2024,2025" TargetMode="External"/><Relationship Id="rId210" Type="http://schemas.openxmlformats.org/officeDocument/2006/relationships/hyperlink" Target="https://apidatalake.tesouro.gov.br/ords/cdwhprd/siconfi/tt/dca?an_exercicio=2018&amp;id_ente=2304400&amp;no_anexo=DCA-Anexo+I-D" TargetMode="External"/><Relationship Id="rId392" Type="http://schemas.openxmlformats.org/officeDocument/2006/relationships/hyperlink" Target="https://ftp.ibge.gov.br/Pib_Municipios/2022_2023/base/base_de_dados_2010_2023_xlsx.zip" TargetMode="External"/><Relationship Id="rId448" Type="http://schemas.openxmlformats.org/officeDocument/2006/relationships/hyperlink" Target="https://apidatalake.tesouro.gov.br/ords/cdwhprd/siconfi/tt/rgf?an_exercicio=2018&amp;in_periodicidade=Q&amp;nr_periodo=3&amp;co_tipo_demonstrativo=RGF&amp;no_anexo=RGF-Anexo+01&amp;co_poder=E&amp;id_ente=2307304" TargetMode="External"/><Relationship Id="rId252" Type="http://schemas.openxmlformats.org/officeDocument/2006/relationships/hyperlink" Target="https://ftp.ibge.gov.br/Pib_Municipios/2022_2023/base/base_de_dados_2010_2023_xlsx.zip" TargetMode="External"/><Relationship Id="rId294" Type="http://schemas.openxmlformats.org/officeDocument/2006/relationships/hyperlink" Target="https://apidatalake.tesouro.gov.br/ords/cdwhprd/siconfi/tt/rgf?an_exercicio=2022&amp;in_periodicidade=Q&amp;nr_periodo=3&amp;co_tipo_demonstrativo=RGF&amp;no_anexo=RGF-Anexo+01&amp;co_poder=E&amp;id_ente=2304400" TargetMode="External"/><Relationship Id="rId308" Type="http://schemas.openxmlformats.org/officeDocument/2006/relationships/hyperlink" Target="https://download.inep.gov.br/ideb/resultados/divulgacao_anos_finais_municipios_2025.zip" TargetMode="External"/><Relationship Id="rId515" Type="http://schemas.openxmlformats.org/officeDocument/2006/relationships/hyperlink" Target="https://apidatalake.tesouro.gov.br/docs/siconfi/" TargetMode="External"/><Relationship Id="rId47" Type="http://schemas.openxmlformats.org/officeDocument/2006/relationships/hyperlink" Target="https://www.argentina.gob.ar/noticias/en-el-ano-2025-el-sector-publico-nacional-registro-un-superavit-financiero-de-1453819" TargetMode="External"/><Relationship Id="rId89" Type="http://schemas.openxmlformats.org/officeDocument/2006/relationships/hyperlink" Target="https://www.imf.org/external/datamapper/api/v2/exp/ARG?periods=2016,2017,2018,2019,2020,2021,2022,2023,2024,2025" TargetMode="External"/><Relationship Id="rId112" Type="http://schemas.openxmlformats.org/officeDocument/2006/relationships/hyperlink" Target="https://www.imf.org/external/datamapper/api/v2/NGDP_RPCH/ARG?periods=2016,2017,2018,2019,2020,2021,2022,2023,2024,2025" TargetMode="External"/><Relationship Id="rId154" Type="http://schemas.openxmlformats.org/officeDocument/2006/relationships/hyperlink" Target="https://download.inep.gov.br/ideb/resultados/divulgacao_anos_iniciais_municipios_2025.zip" TargetMode="External"/><Relationship Id="rId361" Type="http://schemas.openxmlformats.org/officeDocument/2006/relationships/hyperlink" Target="https://download.inep.gov.br/ideb/resultados/divulgacao_anos_iniciais_municipios_2025.zip" TargetMode="External"/><Relationship Id="rId557" Type="http://schemas.openxmlformats.org/officeDocument/2006/relationships/hyperlink" Target="https://apidatalake.tesouro.gov.br/ords/cdwhprd/siconfi/tt/rgf?an_exercicio=2024&amp;in_periodicidade=Q&amp;nr_periodo=3&amp;co_tipo_demonstrativo=RGF&amp;no_anexo=RGF-Anexo+01&amp;co_poder=E&amp;id_ente=2307304" TargetMode="External"/><Relationship Id="rId196" Type="http://schemas.openxmlformats.org/officeDocument/2006/relationships/hyperlink" Target="https://download.inep.gov.br/ideb/resultados/divulgacao_anos_finais_municipios_2025.zip" TargetMode="External"/><Relationship Id="rId417" Type="http://schemas.openxmlformats.org/officeDocument/2006/relationships/hyperlink" Target="https://apidatalake.tesouro.gov.br/docs/siconfi/" TargetMode="External"/><Relationship Id="rId459" Type="http://schemas.openxmlformats.org/officeDocument/2006/relationships/hyperlink" Target="https://apidatalake.tesouro.gov.br/ords/cdwhprd/siconfi/tt/rgf?an_exercicio=2019&amp;in_periodicidade=Q&amp;nr_periodo=3&amp;co_tipo_demonstrativo=RGF&amp;no_anexo=RGF-Anexo+01&amp;co_poder=E&amp;id_ente=2307304" TargetMode="External"/><Relationship Id="rId16" Type="http://schemas.openxmlformats.org/officeDocument/2006/relationships/hyperlink" Target="https://www.imf.org/external/datamapper/api/v2/NGDP_RPCH/ARG?periods=2016,2017,2018,2019,2020,2021,2022,2023,2024,2025" TargetMode="External"/><Relationship Id="rId221" Type="http://schemas.openxmlformats.org/officeDocument/2006/relationships/hyperlink" Target="https://apidatalake.tesouro.gov.br/ords/cdwhprd/siconfi/tt/dca?an_exercicio=2018&amp;id_ente=2304400&amp;no_anexo=DCA-Anexo+I-C" TargetMode="External"/><Relationship Id="rId242" Type="http://schemas.openxmlformats.org/officeDocument/2006/relationships/hyperlink" Target="https://apidatalake.tesouro.gov.br/docs/siconfi/" TargetMode="External"/><Relationship Id="rId263" Type="http://schemas.openxmlformats.org/officeDocument/2006/relationships/hyperlink" Target="https://apidatalake.tesouro.gov.br/ords/cdwhprd/siconfi/tt/dca?an_exercicio=2021&amp;id_ente=2304400&amp;no_anexo=DCA-Anexo+I-C" TargetMode="External"/><Relationship Id="rId284" Type="http://schemas.openxmlformats.org/officeDocument/2006/relationships/hyperlink" Target="https://apidatalake.tesouro.gov.br/ords/cdwhprd/siconfi/tt/rgf?an_exercicio=2022&amp;in_periodicidade=Q&amp;nr_periodo=3&amp;co_tipo_demonstrativo=RGF&amp;no_anexo=RGF-Anexo+01&amp;co_poder=E&amp;id_ente=2304400" TargetMode="External"/><Relationship Id="rId319" Type="http://schemas.openxmlformats.org/officeDocument/2006/relationships/hyperlink" Target="https://apidatalake.tesouro.gov.br/ords/cdwhprd/siconfi/tt/dca?an_exercicio=2023&amp;id_ente=2304400&amp;no_anexo=DCA-Anexo+I-C" TargetMode="External"/><Relationship Id="rId470" Type="http://schemas.openxmlformats.org/officeDocument/2006/relationships/hyperlink" Target="https://download.inep.gov.br/ideb/resultados/divulgacao_anos_iniciais_municipios_2025.zip" TargetMode="External"/><Relationship Id="rId491" Type="http://schemas.openxmlformats.org/officeDocument/2006/relationships/hyperlink" Target="https://apidatalake.tesouro.gov.br/ords/cdwhprd/siconfi/tt/rgf?an_exercicio=2020&amp;in_periodicidade=Q&amp;nr_periodo=3&amp;co_tipo_demonstrativo=RGF&amp;no_anexo=RGF-Anexo+01&amp;co_poder=E&amp;id_ente=2307304" TargetMode="External"/><Relationship Id="rId505" Type="http://schemas.openxmlformats.org/officeDocument/2006/relationships/hyperlink" Target="https://download.inep.gov.br/ideb/resultados/divulgacao_anos_finais_municipios_2025.zip" TargetMode="External"/><Relationship Id="rId526" Type="http://schemas.openxmlformats.org/officeDocument/2006/relationships/hyperlink" Target="https://ftp.ibge.gov.br/Pib_Municipios/2022_2023/base/base_de_dados_2010_2023_xlsx.zip" TargetMode="External"/><Relationship Id="rId37" Type="http://schemas.openxmlformats.org/officeDocument/2006/relationships/hyperlink" Target="https://contenidos.afip.gob.ar/institucional/estudios/archivos/serie2019.xls" TargetMode="External"/><Relationship Id="rId58" Type="http://schemas.openxmlformats.org/officeDocument/2006/relationships/hyperlink" Target="https://www.argentina.gob.ar/sites/default/files/serie_ron_2003_2025.csv" TargetMode="External"/><Relationship Id="rId79" Type="http://schemas.openxmlformats.org/officeDocument/2006/relationships/hyperlink" Target="https://www.argentina.gob.ar/noticias/en-el-ano-2025-el-sector-publico-nacional-registro-un-superavit-financiero-de-1453819" TargetMode="External"/><Relationship Id="rId102" Type="http://schemas.openxmlformats.org/officeDocument/2006/relationships/hyperlink" Target="https://www.imf.org/external/datamapper/api/v2/GGXWDG_NGDP/ARG?periods=2016,2017,2018,2019,2020,2021,2022,2023,2024,2025" TargetMode="External"/><Relationship Id="rId123" Type="http://schemas.openxmlformats.org/officeDocument/2006/relationships/hyperlink" Target="https://download.inep.gov.br/ideb/resultados/divulgacao_anos_finais_municipios_2025.zip" TargetMode="External"/><Relationship Id="rId144" Type="http://schemas.openxmlformats.org/officeDocument/2006/relationships/hyperlink" Target="https://download.inep.gov.br/ideb/resultados/divulgacao_anos_iniciais_municipios_2025.zip" TargetMode="External"/><Relationship Id="rId330" Type="http://schemas.openxmlformats.org/officeDocument/2006/relationships/hyperlink" Target="https://apidatalake.tesouro.gov.br/ords/cdwhprd/siconfi/tt/rgf?an_exercicio=2024&amp;in_periodicidade=Q&amp;nr_periodo=3&amp;co_tipo_demonstrativo=RGF&amp;no_anexo=RGF-Anexo+01&amp;co_poder=E&amp;id_ente=2304400" TargetMode="External"/><Relationship Id="rId547" Type="http://schemas.openxmlformats.org/officeDocument/2006/relationships/hyperlink" Target="https://ftp.ibge.gov.br/Pib_Municipios/2022_2023/base/base_de_dados_2010_2023_xlsx.zip" TargetMode="External"/><Relationship Id="rId568" Type="http://schemas.openxmlformats.org/officeDocument/2006/relationships/hyperlink" Target="https://apidatalake.tesouro.gov.br/ords/cdwhprd/siconfi/tt/dca?an_exercicio=2024&amp;id_ente=2307304&amp;no_anexo=DCA-Anexo+I-C" TargetMode="External"/><Relationship Id="rId589" Type="http://schemas.openxmlformats.org/officeDocument/2006/relationships/hyperlink" Target="https://apidatalake.tesouro.gov.br/ords/cdwhprd/siconfi/tt/dca?an_exercicio=2025&amp;id_ente=2307304&amp;no_anexo=DCA-Anexo+I-C" TargetMode="External"/><Relationship Id="rId90" Type="http://schemas.openxmlformats.org/officeDocument/2006/relationships/hyperlink" Target="https://www.imf.org/external/datamapper/api/v2/GGXWDG_NGDP/ARG?periods=2016,2017,2018,2019,2020,2021,2022,2023,2024,2025" TargetMode="External"/><Relationship Id="rId165" Type="http://schemas.openxmlformats.org/officeDocument/2006/relationships/hyperlink" Target="https://download.inep.gov.br/ideb/resultados/divulgacao_anos_finais_municipios_2025.zip" TargetMode="External"/><Relationship Id="rId186" Type="http://schemas.openxmlformats.org/officeDocument/2006/relationships/hyperlink" Target="https://apidatalake.tesouro.gov.br/ords/cdwhprd/siconfi/tt/rgf?an_exercicio=2017&amp;in_periodicidade=Q&amp;nr_periodo=3&amp;co_tipo_demonstrativo=RGF&amp;no_anexo=RGF-Anexo+01&amp;co_poder=E&amp;id_ente=2304400" TargetMode="External"/><Relationship Id="rId351" Type="http://schemas.openxmlformats.org/officeDocument/2006/relationships/hyperlink" Target="https://apidatalake.tesouro.gov.br/ords/cdwhprd/siconfi/tt/dca?an_exercicio=2025&amp;id_ente=2304400&amp;no_anexo=DCA-Anexo+I-C" TargetMode="External"/><Relationship Id="rId372" Type="http://schemas.openxmlformats.org/officeDocument/2006/relationships/hyperlink" Target="https://download.inep.gov.br/ideb/resultados/divulgacao_anos_finais_municipios_2025.zip" TargetMode="External"/><Relationship Id="rId393" Type="http://schemas.openxmlformats.org/officeDocument/2006/relationships/hyperlink" Target="https://ftp.ibge.gov.br/Pib_Municipios/2022_2023/base/base_de_dados_2010_2023_xlsx.zip" TargetMode="External"/><Relationship Id="rId407" Type="http://schemas.openxmlformats.org/officeDocument/2006/relationships/hyperlink" Target="https://apidatalake.tesouro.gov.br/ords/cdwhprd/siconfi/tt/dca?an_exercicio=2016&amp;id_ente=2307304&amp;no_anexo=DCA-Anexo+I-D" TargetMode="External"/><Relationship Id="rId428" Type="http://schemas.openxmlformats.org/officeDocument/2006/relationships/hyperlink" Target="https://download.inep.gov.br/ideb/resultados/divulgacao_anos_iniciais_municipios_2025.zip" TargetMode="External"/><Relationship Id="rId449" Type="http://schemas.openxmlformats.org/officeDocument/2006/relationships/hyperlink" Target="https://ftp.ibge.gov.br/Pib_Municipios/2022_2023/base/base_de_dados_2010_2023_xlsx.zip" TargetMode="External"/><Relationship Id="rId211" Type="http://schemas.openxmlformats.org/officeDocument/2006/relationships/hyperlink" Target="https://apidatalake.tesouro.gov.br/ords/cdwhprd/siconfi/tt/dca?an_exercicio=2018&amp;id_ente=2304400&amp;no_anexo=DCA-Anexo+I-D" TargetMode="External"/><Relationship Id="rId232" Type="http://schemas.openxmlformats.org/officeDocument/2006/relationships/hyperlink" Target="https://download.inep.gov.br/ideb/resultados/divulgacao_anos_finais_municipios_2025.zip" TargetMode="External"/><Relationship Id="rId253" Type="http://schemas.openxmlformats.org/officeDocument/2006/relationships/hyperlink" Target="https://ftp.ibge.gov.br/Pib_Municipios/2022_2023/base/base_de_dados_2010_2023_xlsx.zip" TargetMode="External"/><Relationship Id="rId274" Type="http://schemas.openxmlformats.org/officeDocument/2006/relationships/hyperlink" Target="https://ftp.ibge.gov.br/Pib_Municipios/2022_2023/base/base_de_dados_2010_2023_xlsx.zip" TargetMode="External"/><Relationship Id="rId295" Type="http://schemas.openxmlformats.org/officeDocument/2006/relationships/hyperlink" Target="https://apidatalake.tesouro.gov.br/ords/cdwhprd/siconfi/tt/dca?an_exercicio=2022&amp;id_ente=2304400&amp;no_anexo=DCA-Anexo+I-C" TargetMode="External"/><Relationship Id="rId309" Type="http://schemas.openxmlformats.org/officeDocument/2006/relationships/hyperlink" Target="https://download.inep.gov.br/ideb/resultados/divulgacao_anos_iniciais_municipios_2025.zip" TargetMode="External"/><Relationship Id="rId460" Type="http://schemas.openxmlformats.org/officeDocument/2006/relationships/hyperlink" Target="https://apidatalake.tesouro.gov.br/ords/cdwhprd/siconfi/tt/dca?an_exercicio=2019&amp;id_ente=2307304&amp;no_anexo=DCA-Anexo+I-C" TargetMode="External"/><Relationship Id="rId481" Type="http://schemas.openxmlformats.org/officeDocument/2006/relationships/hyperlink" Target="https://apidatalake.tesouro.gov.br/ords/cdwhprd/siconfi/tt/rgf?an_exercicio=2020&amp;in_periodicidade=Q&amp;nr_periodo=3&amp;co_tipo_demonstrativo=RGF&amp;no_anexo=RGF-Anexo+01&amp;co_poder=E&amp;id_ente=2307304" TargetMode="External"/><Relationship Id="rId516" Type="http://schemas.openxmlformats.org/officeDocument/2006/relationships/hyperlink" Target="https://apidatalake.tesouro.gov.br/ords/cdwhprd/siconfi/tt/dca?an_exercicio=2021&amp;id_ente=2307304&amp;no_anexo=DCA-Anexo+I-C" TargetMode="External"/><Relationship Id="rId27" Type="http://schemas.openxmlformats.org/officeDocument/2006/relationships/hyperlink" Target="https://www.imf.org/external/datamapper/api/v2/NGDPD/ARG?periods=2016,2017,2018,2019,2020,2021,2022,2023,2024,2025" TargetMode="External"/><Relationship Id="rId48" Type="http://schemas.openxmlformats.org/officeDocument/2006/relationships/hyperlink" Target="https://www.argentina.gob.ar/noticias/en-el-ano-2025-el-sector-publico-nacional-registro-un-superavit-financiero-de-1453819" TargetMode="External"/><Relationship Id="rId69" Type="http://schemas.openxmlformats.org/officeDocument/2006/relationships/hyperlink" Target="https://www.imf.org/external/datamapper/api/v2/LP/ARG?periods=2016,2017,2018,2019,2020,2021,2022,2023,2024,2025" TargetMode="External"/><Relationship Id="rId113" Type="http://schemas.openxmlformats.org/officeDocument/2006/relationships/hyperlink" Target="https://www.imf.org/external/datamapper/api/v2/exp/ARG?periods=2016,2017,2018,2019,2020,2021,2022,2023,2024,2025" TargetMode="External"/><Relationship Id="rId134" Type="http://schemas.openxmlformats.org/officeDocument/2006/relationships/hyperlink" Target="https://download.inep.gov.br/ideb/resultados/divulgacao_anos_iniciais_municipios_2025.zip" TargetMode="External"/><Relationship Id="rId320" Type="http://schemas.openxmlformats.org/officeDocument/2006/relationships/hyperlink" Target="https://apidatalake.tesouro.gov.br/ords/cdwhprd/siconfi/tt/dca?an_exercicio=2023&amp;id_ente=2304400&amp;no_anexo=DCA-Anexo+I-C" TargetMode="External"/><Relationship Id="rId537" Type="http://schemas.openxmlformats.org/officeDocument/2006/relationships/hyperlink" Target="https://apidatalake.tesouro.gov.br/ords/cdwhprd/siconfi/tt/dca?an_exercicio=2023&amp;id_ente=2307304&amp;no_anexo=DCA-Anexo+I-D" TargetMode="External"/><Relationship Id="rId558" Type="http://schemas.openxmlformats.org/officeDocument/2006/relationships/hyperlink" Target="https://apidatalake.tesouro.gov.br/ords/cdwhprd/siconfi/tt/dca?an_exercicio=2024&amp;id_ente=2307304&amp;no_anexo=DCA-Anexo+I-C" TargetMode="External"/><Relationship Id="rId579" Type="http://schemas.openxmlformats.org/officeDocument/2006/relationships/hyperlink" Target="https://download.inep.gov.br/ideb/resultados/divulgacao_anos_finais_municipios_2025.zip" TargetMode="External"/><Relationship Id="rId80" Type="http://schemas.openxmlformats.org/officeDocument/2006/relationships/hyperlink" Target="https://www.imf.org/external/datamapper/api/v2/GGXCNL_G01_GDP_PT/ARG?periods=2016,2017,2018,2019,2020,2021,2022,2023,2024,2025" TargetMode="External"/><Relationship Id="rId155" Type="http://schemas.openxmlformats.org/officeDocument/2006/relationships/hyperlink" Target="https://download.inep.gov.br/ideb/resultados/divulgacao_anos_finais_municipios_2025.zip" TargetMode="External"/><Relationship Id="rId176" Type="http://schemas.openxmlformats.org/officeDocument/2006/relationships/hyperlink" Target="https://ftp.ibge.gov.br/Pib_Municipios/2022_2023/base/base_de_dados_2010_2023_xlsx.zip" TargetMode="External"/><Relationship Id="rId197" Type="http://schemas.openxmlformats.org/officeDocument/2006/relationships/hyperlink" Target="https://download.inep.gov.br/ideb/resultados/divulgacao_anos_iniciais_municipios_2025.zip" TargetMode="External"/><Relationship Id="rId341" Type="http://schemas.openxmlformats.org/officeDocument/2006/relationships/hyperlink" Target="https://apidatalake.tesouro.gov.br/ords/cdwhprd/siconfi/tt/rgf?an_exercicio=2025&amp;in_periodicidade=Q&amp;nr_periodo=3&amp;co_tipo_demonstrativo=RGF&amp;no_anexo=RGF-Anexo+01&amp;co_poder=E&amp;id_ente=2304400" TargetMode="External"/><Relationship Id="rId362" Type="http://schemas.openxmlformats.org/officeDocument/2006/relationships/hyperlink" Target="https://download.inep.gov.br/ideb/resultados/divulgacao_anos_finais_municipios_2025.zip" TargetMode="External"/><Relationship Id="rId383" Type="http://schemas.openxmlformats.org/officeDocument/2006/relationships/hyperlink" Target="https://ftp.ibge.gov.br/Pib_Municipios/2022_2023/base/base_de_dados_2010_2023_xlsx.zip" TargetMode="External"/><Relationship Id="rId418" Type="http://schemas.openxmlformats.org/officeDocument/2006/relationships/hyperlink" Target="https://apidatalake.tesouro.gov.br/ords/cdwhprd/siconfi/tt/dca?an_exercicio=2016&amp;id_ente=2307304&amp;no_anexo=DCA-Anexo+I-C" TargetMode="External"/><Relationship Id="rId439" Type="http://schemas.openxmlformats.org/officeDocument/2006/relationships/hyperlink" Target="https://apidatalake.tesouro.gov.br/docs/siconfi/" TargetMode="External"/><Relationship Id="rId590" Type="http://schemas.openxmlformats.org/officeDocument/2006/relationships/hyperlink" Target="https://www.ibge.gov.br/cidades-e-estados/ce/juazeiro-do-norte.html" TargetMode="External"/><Relationship Id="rId201" Type="http://schemas.openxmlformats.org/officeDocument/2006/relationships/hyperlink" Target="https://apidatalake.tesouro.gov.br/ords/cdwhprd/siconfi/tt/rgf?an_exercicio=2017&amp;in_periodicidade=Q&amp;nr_periodo=3&amp;co_tipo_demonstrativo=RGF&amp;no_anexo=RGF-Anexo+01&amp;co_poder=E&amp;id_ente=2304400" TargetMode="External"/><Relationship Id="rId222" Type="http://schemas.openxmlformats.org/officeDocument/2006/relationships/hyperlink" Target="https://apidatalake.tesouro.gov.br/ords/cdwhprd/siconfi/tt/dca?an_exercicio=2018&amp;id_ente=2304400&amp;no_anexo=DCA-Anexo+I-C" TargetMode="External"/><Relationship Id="rId243" Type="http://schemas.openxmlformats.org/officeDocument/2006/relationships/hyperlink" Target="https://apidatalake.tesouro.gov.br/ords/cdwhprd/siconfi/tt/dca?an_exercicio=2019&amp;id_ente=2304400&amp;no_anexo=DCA-Anexo+I-C" TargetMode="External"/><Relationship Id="rId264" Type="http://schemas.openxmlformats.org/officeDocument/2006/relationships/hyperlink" Target="https://apidatalake.tesouro.gov.br/ords/cdwhprd/siconfi/tt/dca?an_exercicio=2021&amp;id_ente=2304400&amp;no_anexo=DCA-Anexo+I-D" TargetMode="External"/><Relationship Id="rId285" Type="http://schemas.openxmlformats.org/officeDocument/2006/relationships/hyperlink" Target="https://apidatalake.tesouro.gov.br/ords/cdwhprd/siconfi/tt/dca?an_exercicio=2022&amp;id_ente=2304400&amp;no_anexo=DCA-Anexo+I-C" TargetMode="External"/><Relationship Id="rId450" Type="http://schemas.openxmlformats.org/officeDocument/2006/relationships/hyperlink" Target="https://ftp.ibge.gov.br/Pib_Municipios/2022_2023/base/base_de_dados_2010_2023_xlsx.zip" TargetMode="External"/><Relationship Id="rId471" Type="http://schemas.openxmlformats.org/officeDocument/2006/relationships/hyperlink" Target="https://ftp.ibge.gov.br/Pib_Municipios/2022_2023/base/base_de_dados_2010_2023_xlsx.zip" TargetMode="External"/><Relationship Id="rId506" Type="http://schemas.openxmlformats.org/officeDocument/2006/relationships/hyperlink" Target="https://download.inep.gov.br/ideb/resultados/divulgacao_anos_iniciais_municipios_2025.zip" TargetMode="External"/><Relationship Id="rId17" Type="http://schemas.openxmlformats.org/officeDocument/2006/relationships/hyperlink" Target="https://www.imf.org/external/datamapper/api/v2/exp/ARG?periods=2016,2017,2018,2019,2020,2021,2022,2023,2024,2025" TargetMode="External"/><Relationship Id="rId38" Type="http://schemas.openxmlformats.org/officeDocument/2006/relationships/hyperlink" Target="https://www.imf.org/external/datamapper/api/v2/PCPIPCH/ARG?periods=2016,2017,2018,2019,2020,2021,2022,2023,2024,2025" TargetMode="External"/><Relationship Id="rId59" Type="http://schemas.openxmlformats.org/officeDocument/2006/relationships/hyperlink" Target="https://www.argentina.gob.ar/noticias/en-el-ano-2025-el-sector-publico-nacional-registro-un-superavit-financiero-de-1453819" TargetMode="External"/><Relationship Id="rId103" Type="http://schemas.openxmlformats.org/officeDocument/2006/relationships/hyperlink" Target="https://www.argentina.gob.ar/noticias/en-el-ano-2025-el-sector-publico-nacional-registro-un-superavit-financiero-de-1453819" TargetMode="External"/><Relationship Id="rId124" Type="http://schemas.openxmlformats.org/officeDocument/2006/relationships/hyperlink" Target="https://download.inep.gov.br/ideb/resultados/divulgacao_anos_iniciais_municipios_2025.zip" TargetMode="External"/><Relationship Id="rId310" Type="http://schemas.openxmlformats.org/officeDocument/2006/relationships/hyperlink" Target="https://download.inep.gov.br/ideb/resultados/divulgacao_anos_finais_municipios_2025.zip" TargetMode="External"/><Relationship Id="rId492" Type="http://schemas.openxmlformats.org/officeDocument/2006/relationships/hyperlink" Target="https://apidatalake.tesouro.gov.br/ords/cdwhprd/siconfi/tt/dca?an_exercicio=2020&amp;id_ente=2307304&amp;no_anexo=DCA-Anexo+I-C" TargetMode="External"/><Relationship Id="rId527" Type="http://schemas.openxmlformats.org/officeDocument/2006/relationships/hyperlink" Target="https://www.ibge.gov.br/cidades-e-estados/ce/juazeiro-do-norte.html" TargetMode="External"/><Relationship Id="rId548" Type="http://schemas.openxmlformats.org/officeDocument/2006/relationships/hyperlink" Target="https://ftp.ibge.gov.br/Pib_Municipios/2022_2023/base/base_de_dados_2010_2023_xlsx.zip" TargetMode="External"/><Relationship Id="rId569" Type="http://schemas.openxmlformats.org/officeDocument/2006/relationships/hyperlink" Target="https://apidatalake.tesouro.gov.br/ords/cdwhprd/siconfi/tt/dca?an_exercicio=2024&amp;id_ente=2307304&amp;no_anexo=DCA-Anexo+I-C" TargetMode="External"/><Relationship Id="rId70" Type="http://schemas.openxmlformats.org/officeDocument/2006/relationships/hyperlink" Target="https://www.argentina.gob.ar/sites/default/files/serie_ron_2003_2025.csv" TargetMode="External"/><Relationship Id="rId91" Type="http://schemas.openxmlformats.org/officeDocument/2006/relationships/hyperlink" Target="https://www.argentina.gob.ar/noticias/en-el-ano-2025-el-sector-publico-nacional-registro-un-superavit-financiero-de-1453819" TargetMode="External"/><Relationship Id="rId145" Type="http://schemas.openxmlformats.org/officeDocument/2006/relationships/hyperlink" Target="https://download.inep.gov.br/ideb/resultados/divulgacao_anos_finais_municipios_2025.zip" TargetMode="External"/><Relationship Id="rId166" Type="http://schemas.openxmlformats.org/officeDocument/2006/relationships/hyperlink" Target="https://download.inep.gov.br/ideb/resultados/divulgacao_anos_iniciais_municipios_2025.zip" TargetMode="External"/><Relationship Id="rId187" Type="http://schemas.openxmlformats.org/officeDocument/2006/relationships/hyperlink" Target="https://apidatalake.tesouro.gov.br/ords/cdwhprd/siconfi/tt/dca?an_exercicio=2017&amp;id_ente=2304400&amp;no_anexo=DCA-Anexo+I-C" TargetMode="External"/><Relationship Id="rId331" Type="http://schemas.openxmlformats.org/officeDocument/2006/relationships/hyperlink" Target="https://apidatalake.tesouro.gov.br/ords/cdwhprd/siconfi/tt/dca?an_exercicio=2024&amp;id_ente=2304400&amp;no_anexo=DCA-Anexo+I-C" TargetMode="External"/><Relationship Id="rId352" Type="http://schemas.openxmlformats.org/officeDocument/2006/relationships/hyperlink" Target="https://apidatalake.tesouro.gov.br/docs/siconfi/" TargetMode="External"/><Relationship Id="rId373" Type="http://schemas.openxmlformats.org/officeDocument/2006/relationships/hyperlink" Target="https://download.inep.gov.br/ideb/resultados/divulgacao_anos_iniciais_municipios_2025.zip" TargetMode="External"/><Relationship Id="rId394" Type="http://schemas.openxmlformats.org/officeDocument/2006/relationships/hyperlink" Target="https://ftp.ibge.gov.br/Pib_Municipios/2022_2023/base/base_de_dados_2010_2023_xlsx.zip" TargetMode="External"/><Relationship Id="rId408" Type="http://schemas.openxmlformats.org/officeDocument/2006/relationships/hyperlink" Target="https://apidatalake.tesouro.gov.br/ords/cdwhprd/siconfi/tt/dca?an_exercicio=2016&amp;id_ente=2307304&amp;no_anexo=DCA-Anexo+I-D" TargetMode="External"/><Relationship Id="rId429" Type="http://schemas.openxmlformats.org/officeDocument/2006/relationships/hyperlink" Target="https://download.inep.gov.br/ideb/resultados/divulgacao_anos_finais_municipios_2025.zip" TargetMode="External"/><Relationship Id="rId580" Type="http://schemas.openxmlformats.org/officeDocument/2006/relationships/hyperlink" Target="https://download.inep.gov.br/ideb/resultados/divulgacao_anos_iniciais_municipios_2025.zip" TargetMode="External"/><Relationship Id="rId1" Type="http://schemas.openxmlformats.org/officeDocument/2006/relationships/hyperlink" Target="https://contenidos.afip.gob.ar/institucional/estudios/archivos/serie2016.xls" TargetMode="External"/><Relationship Id="rId212" Type="http://schemas.openxmlformats.org/officeDocument/2006/relationships/hyperlink" Target="https://apidatalake.tesouro.gov.br/ords/cdwhprd/siconfi/tt/dca?an_exercicio=2018&amp;id_ente=2304400&amp;no_anexo=DCA-Anexo+I-D" TargetMode="External"/><Relationship Id="rId233" Type="http://schemas.openxmlformats.org/officeDocument/2006/relationships/hyperlink" Target="https://download.inep.gov.br/ideb/resultados/divulgacao_anos_iniciais_municipios_2025.zip" TargetMode="External"/><Relationship Id="rId254" Type="http://schemas.openxmlformats.org/officeDocument/2006/relationships/hyperlink" Target="https://apisidra.ibge.gov.br/values/t/6579/p/2016-2025/v/9324/n6/2304400" TargetMode="External"/><Relationship Id="rId440" Type="http://schemas.openxmlformats.org/officeDocument/2006/relationships/hyperlink" Target="https://apidatalake.tesouro.gov.br/ords/cdwhprd/siconfi/tt/dca?an_exercicio=2017&amp;id_ente=2307304&amp;no_anexo=DCA-Anexo+I-C" TargetMode="External"/><Relationship Id="rId28" Type="http://schemas.openxmlformats.org/officeDocument/2006/relationships/hyperlink" Target="https://www.imf.org/external/datamapper/api/v2/NGDP_RPCH/ARG?periods=2016,2017,2018,2019,2020,2021,2022,2023,2024,2025" TargetMode="External"/><Relationship Id="rId49" Type="http://schemas.openxmlformats.org/officeDocument/2006/relationships/hyperlink" Target="https://contenidos.afip.gob.ar/institucional/estudios/archivos/serie2020.xls" TargetMode="External"/><Relationship Id="rId114" Type="http://schemas.openxmlformats.org/officeDocument/2006/relationships/hyperlink" Target="https://www.imf.org/external/datamapper/api/v2/GGXWDG_NGDP/ARG?periods=2016,2017,2018,2019,2020,2021,2022,2023,2024,2025" TargetMode="External"/><Relationship Id="rId275" Type="http://schemas.openxmlformats.org/officeDocument/2006/relationships/hyperlink" Target="https://ftp.ibge.gov.br/Pib_Municipios/2022_2023/base/base_de_dados_2010_2023_xlsx.zip" TargetMode="External"/><Relationship Id="rId296" Type="http://schemas.openxmlformats.org/officeDocument/2006/relationships/hyperlink" Target="https://apidatalake.tesouro.gov.br/docs/siconfi/" TargetMode="External"/><Relationship Id="rId300" Type="http://schemas.openxmlformats.org/officeDocument/2006/relationships/hyperlink" Target="https://apidatalake.tesouro.gov.br/ords/cdwhprd/siconfi/tt/rgf?an_exercicio=2023&amp;in_periodicidade=Q&amp;nr_periodo=3&amp;co_tipo_demonstrativo=RGF&amp;no_anexo=RGF-Anexo+01&amp;co_poder=E&amp;id_ente=2304400" TargetMode="External"/><Relationship Id="rId461" Type="http://schemas.openxmlformats.org/officeDocument/2006/relationships/hyperlink" Target="https://apidatalake.tesouro.gov.br/ords/cdwhprd/siconfi/tt/dca?an_exercicio=2019&amp;id_ente=2307304&amp;no_anexo=DCA-Anexo+I-D" TargetMode="External"/><Relationship Id="rId482" Type="http://schemas.openxmlformats.org/officeDocument/2006/relationships/hyperlink" Target="https://apidatalake.tesouro.gov.br/ords/cdwhprd/siconfi/tt/dca?an_exercicio=2020&amp;id_ente=2307304&amp;no_anexo=DCA-Anexo+I-C" TargetMode="External"/><Relationship Id="rId517" Type="http://schemas.openxmlformats.org/officeDocument/2006/relationships/hyperlink" Target="https://apidatalake.tesouro.gov.br/ords/cdwhprd/siconfi/tt/dca?an_exercicio=2021&amp;id_ente=2307304&amp;no_anexo=DCA-Anexo+I-C" TargetMode="External"/><Relationship Id="rId538" Type="http://schemas.openxmlformats.org/officeDocument/2006/relationships/hyperlink" Target="https://apidatalake.tesouro.gov.br/ords/cdwhprd/siconfi/tt/dca?an_exercicio=2023&amp;id_ente=2307304&amp;no_anexo=DCA-Anexo+I-D" TargetMode="External"/><Relationship Id="rId559" Type="http://schemas.openxmlformats.org/officeDocument/2006/relationships/hyperlink" Target="https://apidatalake.tesouro.gov.br/ords/cdwhprd/siconfi/tt/dca?an_exercicio=2024&amp;id_ente=2307304&amp;no_anexo=DCA-Anexo+I-D" TargetMode="External"/><Relationship Id="rId60" Type="http://schemas.openxmlformats.org/officeDocument/2006/relationships/hyperlink" Target="https://www.argentina.gob.ar/noticias/en-el-ano-2025-el-sector-publico-nacional-registro-un-superavit-financiero-de-1453819" TargetMode="External"/><Relationship Id="rId81" Type="http://schemas.openxmlformats.org/officeDocument/2006/relationships/hyperlink" Target="https://www.imf.org/external/datamapper/api/v2/LP/ARG?periods=2016,2017,2018,2019,2020,2021,2022,2023,2024,2025" TargetMode="External"/><Relationship Id="rId135" Type="http://schemas.openxmlformats.org/officeDocument/2006/relationships/hyperlink" Target="https://download.inep.gov.br/ideb/resultados/divulgacao_anos_finais_municipios_2025.zip" TargetMode="External"/><Relationship Id="rId156" Type="http://schemas.openxmlformats.org/officeDocument/2006/relationships/hyperlink" Target="https://download.inep.gov.br/ideb/resultados/divulgacao_anos_iniciais_municipios_2025.zip" TargetMode="External"/><Relationship Id="rId177" Type="http://schemas.openxmlformats.org/officeDocument/2006/relationships/hyperlink" Target="https://ftp.ibge.gov.br/Pib_Municipios/2022_2023/base/base_de_dados_2010_2023_xlsx.zip" TargetMode="External"/><Relationship Id="rId198" Type="http://schemas.openxmlformats.org/officeDocument/2006/relationships/hyperlink" Target="https://ftp.ibge.gov.br/Pib_Municipios/2022_2023/base/base_de_dados_2010_2023_xlsx.zip" TargetMode="External"/><Relationship Id="rId321" Type="http://schemas.openxmlformats.org/officeDocument/2006/relationships/hyperlink" Target="https://apidatalake.tesouro.gov.br/ords/cdwhprd/siconfi/tt/dca?an_exercicio=2024&amp;id_ente=2304400&amp;no_anexo=DCA-Anexo+I-C" TargetMode="External"/><Relationship Id="rId342" Type="http://schemas.openxmlformats.org/officeDocument/2006/relationships/hyperlink" Target="https://download.inep.gov.br/ideb/resultados/divulgacao_anos_finais_municipios_2025.zip" TargetMode="External"/><Relationship Id="rId363" Type="http://schemas.openxmlformats.org/officeDocument/2006/relationships/hyperlink" Target="https://download.inep.gov.br/ideb/resultados/divulgacao_anos_iniciais_municipios_2025.zip" TargetMode="External"/><Relationship Id="rId384" Type="http://schemas.openxmlformats.org/officeDocument/2006/relationships/hyperlink" Target="https://ftp.ibge.gov.br/Pib_Municipios/2022_2023/base/base_de_dados_2010_2023_xlsx.zip" TargetMode="External"/><Relationship Id="rId419" Type="http://schemas.openxmlformats.org/officeDocument/2006/relationships/hyperlink" Target="https://apidatalake.tesouro.gov.br/ords/cdwhprd/siconfi/tt/dca?an_exercicio=2016&amp;id_ente=2307304&amp;no_anexo=DCA-Anexo+I-C" TargetMode="External"/><Relationship Id="rId570" Type="http://schemas.openxmlformats.org/officeDocument/2006/relationships/hyperlink" Target="https://apidatalake.tesouro.gov.br/ords/cdwhprd/siconfi/tt/dca?an_exercicio=2025&amp;id_ente=2307304&amp;no_anexo=DCA-Anexo+I-C" TargetMode="External"/><Relationship Id="rId202" Type="http://schemas.openxmlformats.org/officeDocument/2006/relationships/hyperlink" Target="https://apidatalake.tesouro.gov.br/ords/cdwhprd/siconfi/tt/rgf?an_exercicio=2017&amp;in_periodicidade=Q&amp;nr_periodo=3&amp;co_tipo_demonstrativo=RGF&amp;no_anexo=RGF-Anexo+01&amp;co_poder=E&amp;id_ente=2304400" TargetMode="External"/><Relationship Id="rId223" Type="http://schemas.openxmlformats.org/officeDocument/2006/relationships/hyperlink" Target="https://apidatalake.tesouro.gov.br/ords/cdwhprd/siconfi/tt/dca?an_exercicio=2019&amp;id_ente=2304400&amp;no_anexo=DCA-Anexo+I-C" TargetMode="External"/><Relationship Id="rId244" Type="http://schemas.openxmlformats.org/officeDocument/2006/relationships/hyperlink" Target="https://apidatalake.tesouro.gov.br/ords/cdwhprd/siconfi/tt/dca?an_exercicio=2019&amp;id_ente=2304400&amp;no_anexo=DCA-Anexo+I-C" TargetMode="External"/><Relationship Id="rId430" Type="http://schemas.openxmlformats.org/officeDocument/2006/relationships/hyperlink" Target="https://download.inep.gov.br/ideb/resultados/divulgacao_anos_iniciais_municipios_2025.zip" TargetMode="External"/><Relationship Id="rId18" Type="http://schemas.openxmlformats.org/officeDocument/2006/relationships/hyperlink" Target="https://www.imf.org/external/datamapper/api/v2/GGXWDG_NGDP/ARG?periods=2016,2017,2018,2019,2020,2021,2022,2023,2024,2025" TargetMode="External"/><Relationship Id="rId39" Type="http://schemas.openxmlformats.org/officeDocument/2006/relationships/hyperlink" Target="https://www.imf.org/external/datamapper/api/v2/NGDPD/ARG?periods=2016,2017,2018,2019,2020,2021,2022,2023,2024,2025" TargetMode="External"/><Relationship Id="rId265" Type="http://schemas.openxmlformats.org/officeDocument/2006/relationships/hyperlink" Target="https://apidatalake.tesouro.gov.br/ords/cdwhprd/siconfi/tt/dca?an_exercicio=2021&amp;id_ente=2304400&amp;no_anexo=DCA-Anexo+I-D" TargetMode="External"/><Relationship Id="rId286" Type="http://schemas.openxmlformats.org/officeDocument/2006/relationships/hyperlink" Target="https://apidatalake.tesouro.gov.br/ords/cdwhprd/siconfi/tt/dca?an_exercicio=2022&amp;id_ente=2304400&amp;no_anexo=DCA-Anexo+I-D" TargetMode="External"/><Relationship Id="rId451" Type="http://schemas.openxmlformats.org/officeDocument/2006/relationships/hyperlink" Target="https://apisidra.ibge.gov.br/values/t/6579/p/2016-2025/v/9324/n6/2307304" TargetMode="External"/><Relationship Id="rId472" Type="http://schemas.openxmlformats.org/officeDocument/2006/relationships/hyperlink" Target="https://ftp.ibge.gov.br/Pib_Municipios/2022_2023/base/base_de_dados_2010_2023_xlsx.zip" TargetMode="External"/><Relationship Id="rId493" Type="http://schemas.openxmlformats.org/officeDocument/2006/relationships/hyperlink" Target="https://apidatalake.tesouro.gov.br/docs/siconfi/" TargetMode="External"/><Relationship Id="rId507" Type="http://schemas.openxmlformats.org/officeDocument/2006/relationships/hyperlink" Target="https://download.inep.gov.br/ideb/resultados/divulgacao_anos_finais_municipios_2025.zip" TargetMode="External"/><Relationship Id="rId528" Type="http://schemas.openxmlformats.org/officeDocument/2006/relationships/hyperlink" Target="https://apidatalake.tesouro.gov.br/ords/cdwhprd/siconfi/tt/rgf?an_exercicio=2022&amp;in_periodicidade=Q&amp;nr_periodo=3&amp;co_tipo_demonstrativo=RGF&amp;no_anexo=RGF-Anexo+01&amp;co_poder=E&amp;id_ente=2307304" TargetMode="External"/><Relationship Id="rId549" Type="http://schemas.openxmlformats.org/officeDocument/2006/relationships/hyperlink" Target="https://apisidra.ibge.gov.br/values/t/6579/p/2016-2025/v/9324/n6/2307304" TargetMode="External"/><Relationship Id="rId50" Type="http://schemas.openxmlformats.org/officeDocument/2006/relationships/hyperlink" Target="https://www.imf.org/external/datamapper/api/v2/PCPIPCH/ARG?periods=2016,2017,2018,2019,2020,2021,2022,2023,2024,2025" TargetMode="External"/><Relationship Id="rId104" Type="http://schemas.openxmlformats.org/officeDocument/2006/relationships/hyperlink" Target="https://www.imf.org/external/datamapper/api/v2/GGXCNL_G01_GDP_PT/ARG?periods=2016,2017,2018,2019,2020,2021,2022,2023,2024,2025" TargetMode="External"/><Relationship Id="rId125" Type="http://schemas.openxmlformats.org/officeDocument/2006/relationships/hyperlink" Target="https://download.inep.gov.br/ideb/resultados/divulgacao_anos_finais_municipios_2025.zip" TargetMode="External"/><Relationship Id="rId146" Type="http://schemas.openxmlformats.org/officeDocument/2006/relationships/hyperlink" Target="https://download.inep.gov.br/ideb/resultados/divulgacao_anos_iniciais_municipios_2025.zip" TargetMode="External"/><Relationship Id="rId167" Type="http://schemas.openxmlformats.org/officeDocument/2006/relationships/hyperlink" Target="https://ftp.ibge.gov.br/Pib_Municipios/2022_2023/base/base_de_dados_2010_2023_xlsx.zip" TargetMode="External"/><Relationship Id="rId188" Type="http://schemas.openxmlformats.org/officeDocument/2006/relationships/hyperlink" Target="https://apidatalake.tesouro.gov.br/ords/cdwhprd/siconfi/tt/dca?an_exercicio=2017&amp;id_ente=2304400&amp;no_anexo=DCA-Anexo+I-D" TargetMode="External"/><Relationship Id="rId311" Type="http://schemas.openxmlformats.org/officeDocument/2006/relationships/hyperlink" Target="https://download.inep.gov.br/ideb/resultados/divulgacao_anos_iniciais_municipios_2025.zip" TargetMode="External"/><Relationship Id="rId332" Type="http://schemas.openxmlformats.org/officeDocument/2006/relationships/hyperlink" Target="https://apidatalake.tesouro.gov.br/docs/siconfi/" TargetMode="External"/><Relationship Id="rId353" Type="http://schemas.openxmlformats.org/officeDocument/2006/relationships/hyperlink" Target="https://apidatalake.tesouro.gov.br/ords/cdwhprd/siconfi/tt/dca?an_exercicio=2025&amp;id_ente=2304400&amp;no_anexo=DCA-Anexo+I-C" TargetMode="External"/><Relationship Id="rId374" Type="http://schemas.openxmlformats.org/officeDocument/2006/relationships/hyperlink" Target="https://ftp.ibge.gov.br/Pib_Municipios/2022_2023/base/base_de_dados_2010_2023_xlsx.zip" TargetMode="External"/><Relationship Id="rId395" Type="http://schemas.openxmlformats.org/officeDocument/2006/relationships/hyperlink" Target="https://ftp.ibge.gov.br/Pib_Municipios/2022_2023/base/base_de_dados_2010_2023_xlsx.zip" TargetMode="External"/><Relationship Id="rId409" Type="http://schemas.openxmlformats.org/officeDocument/2006/relationships/hyperlink" Target="https://apidatalake.tesouro.gov.br/ords/cdwhprd/siconfi/tt/dca?an_exercicio=2016&amp;id_ente=2307304&amp;no_anexo=DCA-Anexo+I-D" TargetMode="External"/><Relationship Id="rId560" Type="http://schemas.openxmlformats.org/officeDocument/2006/relationships/hyperlink" Target="https://apidatalake.tesouro.gov.br/ords/cdwhprd/siconfi/tt/dca?an_exercicio=2024&amp;id_ente=2307304&amp;no_anexo=DCA-Anexo+I-D" TargetMode="External"/><Relationship Id="rId581" Type="http://schemas.openxmlformats.org/officeDocument/2006/relationships/hyperlink" Target="https://download.inep.gov.br/ideb/resultados/divulgacao_anos_finais_municipios_2025.zip" TargetMode="External"/><Relationship Id="rId71" Type="http://schemas.openxmlformats.org/officeDocument/2006/relationships/hyperlink" Target="https://www.argentina.gob.ar/noticias/en-el-ano-2025-el-sector-publico-nacional-registro-un-superavit-financiero-de-1453819" TargetMode="External"/><Relationship Id="rId92" Type="http://schemas.openxmlformats.org/officeDocument/2006/relationships/hyperlink" Target="https://www.imf.org/external/datamapper/api/v2/GGXCNL_G01_GDP_PT/ARG?periods=2016,2017,2018,2019,2020,2021,2022,2023,2024,2025" TargetMode="External"/><Relationship Id="rId213" Type="http://schemas.openxmlformats.org/officeDocument/2006/relationships/hyperlink" Target="https://apidatalake.tesouro.gov.br/ords/cdwhprd/siconfi/tt/rgf?an_exercicio=2018&amp;in_periodicidade=Q&amp;nr_periodo=3&amp;co_tipo_demonstrativo=RGF&amp;no_anexo=RGF-Anexo+01&amp;co_poder=E&amp;id_ente=2304400" TargetMode="External"/><Relationship Id="rId234" Type="http://schemas.openxmlformats.org/officeDocument/2006/relationships/hyperlink" Target="https://download.inep.gov.br/ideb/resultados/divulgacao_anos_finais_municipios_2025.zip" TargetMode="External"/><Relationship Id="rId420" Type="http://schemas.openxmlformats.org/officeDocument/2006/relationships/hyperlink" Target="https://apidatalake.tesouro.gov.br/ords/cdwhprd/siconfi/tt/dca?an_exercicio=2017&amp;id_ente=2307304&amp;no_anexo=DCA-Anexo+I-C" TargetMode="External"/><Relationship Id="rId2" Type="http://schemas.openxmlformats.org/officeDocument/2006/relationships/hyperlink" Target="https://www.imf.org/external/datamapper/api/v2/PCPIPCH/ARG?periods=2016,2017,2018,2019,2020,2021,2022,2023,2024,2025" TargetMode="External"/><Relationship Id="rId29" Type="http://schemas.openxmlformats.org/officeDocument/2006/relationships/hyperlink" Target="https://www.imf.org/external/datamapper/api/v2/exp/ARG?periods=2016,2017,2018,2019,2020,2021,2022,2023,2024,2025" TargetMode="External"/><Relationship Id="rId255" Type="http://schemas.openxmlformats.org/officeDocument/2006/relationships/hyperlink" Target="https://apidatalake.tesouro.gov.br/ords/cdwhprd/siconfi/tt/rgf?an_exercicio=2020&amp;in_periodicidade=Q&amp;nr_periodo=3&amp;co_tipo_demonstrativo=RGF&amp;no_anexo=RGF-Anexo+01&amp;co_poder=E&amp;id_ente=2304400" TargetMode="External"/><Relationship Id="rId276" Type="http://schemas.openxmlformats.org/officeDocument/2006/relationships/hyperlink" Target="https://apisidra.ibge.gov.br/values/t/6579/p/2016-2025/v/9324/n6/2304400" TargetMode="External"/><Relationship Id="rId297" Type="http://schemas.openxmlformats.org/officeDocument/2006/relationships/hyperlink" Target="https://apidatalake.tesouro.gov.br/ords/cdwhprd/siconfi/tt/dca?an_exercicio=2022&amp;id_ente=2304400&amp;no_anexo=DCA-Anexo+I-C" TargetMode="External"/><Relationship Id="rId441" Type="http://schemas.openxmlformats.org/officeDocument/2006/relationships/hyperlink" Target="https://apidatalake.tesouro.gov.br/ords/cdwhprd/siconfi/tt/dca?an_exercicio=2017&amp;id_ente=2307304&amp;no_anexo=DCA-Anexo+I-C" TargetMode="External"/><Relationship Id="rId462" Type="http://schemas.openxmlformats.org/officeDocument/2006/relationships/hyperlink" Target="https://apidatalake.tesouro.gov.br/ords/cdwhprd/siconfi/tt/dca?an_exercicio=2019&amp;id_ente=2307304&amp;no_anexo=DCA-Anexo+I-D" TargetMode="External"/><Relationship Id="rId483" Type="http://schemas.openxmlformats.org/officeDocument/2006/relationships/hyperlink" Target="https://apidatalake.tesouro.gov.br/ords/cdwhprd/siconfi/tt/dca?an_exercicio=2020&amp;id_ente=2307304&amp;no_anexo=DCA-Anexo+I-D" TargetMode="External"/><Relationship Id="rId518" Type="http://schemas.openxmlformats.org/officeDocument/2006/relationships/hyperlink" Target="https://apidatalake.tesouro.gov.br/ords/cdwhprd/siconfi/tt/dca?an_exercicio=2022&amp;id_ente=2307304&amp;no_anexo=DCA-Anexo+I-C" TargetMode="External"/><Relationship Id="rId539" Type="http://schemas.openxmlformats.org/officeDocument/2006/relationships/hyperlink" Target="https://apidatalake.tesouro.gov.br/ords/cdwhprd/siconfi/tt/dca?an_exercicio=2023&amp;id_ente=2307304&amp;no_anexo=DCA-Anexo+I-D" TargetMode="External"/><Relationship Id="rId40" Type="http://schemas.openxmlformats.org/officeDocument/2006/relationships/hyperlink" Target="https://www.imf.org/external/datamapper/api/v2/NGDP_RPCH/ARG?periods=2016,2017,2018,2019,2020,2021,2022,2023,2024,2025" TargetMode="External"/><Relationship Id="rId115" Type="http://schemas.openxmlformats.org/officeDocument/2006/relationships/hyperlink" Target="https://www.argentina.gob.ar/noticias/en-el-ano-2025-el-sector-publico-nacional-registro-un-superavit-financiero-de-1453819" TargetMode="External"/><Relationship Id="rId136" Type="http://schemas.openxmlformats.org/officeDocument/2006/relationships/hyperlink" Target="https://download.inep.gov.br/ideb/resultados/divulgacao_anos_iniciais_municipios_2025.zip" TargetMode="External"/><Relationship Id="rId157" Type="http://schemas.openxmlformats.org/officeDocument/2006/relationships/hyperlink" Target="https://ftp.ibge.gov.br/Pib_Municipios/2022_2023/base/base_de_dados_2010_2023_xlsx.zip" TargetMode="External"/><Relationship Id="rId178" Type="http://schemas.openxmlformats.org/officeDocument/2006/relationships/hyperlink" Target="https://apisidra.ibge.gov.br/values/t/6579/p/2016-2025/v/9324/n6/2304400" TargetMode="External"/><Relationship Id="rId301" Type="http://schemas.openxmlformats.org/officeDocument/2006/relationships/hyperlink" Target="https://apidatalake.tesouro.gov.br/ords/cdwhprd/siconfi/tt/dca?an_exercicio=2023&amp;id_ente=2304400&amp;no_anexo=DCA-Anexo+I-C" TargetMode="External"/><Relationship Id="rId322" Type="http://schemas.openxmlformats.org/officeDocument/2006/relationships/hyperlink" Target="https://apidatalake.tesouro.gov.br/ords/cdwhprd/siconfi/tt/rgf?an_exercicio=2024&amp;in_periodicidade=Q&amp;nr_periodo=3&amp;co_tipo_demonstrativo=RGF&amp;no_anexo=RGF-Anexo+01&amp;co_poder=E&amp;id_ente=2304400" TargetMode="External"/><Relationship Id="rId343" Type="http://schemas.openxmlformats.org/officeDocument/2006/relationships/hyperlink" Target="https://download.inep.gov.br/ideb/resultados/divulgacao_anos_iniciais_municipios_2025.zip" TargetMode="External"/><Relationship Id="rId364" Type="http://schemas.openxmlformats.org/officeDocument/2006/relationships/hyperlink" Target="https://download.inep.gov.br/ideb/resultados/divulgacao_anos_finais_municipios_2025.zip" TargetMode="External"/><Relationship Id="rId550" Type="http://schemas.openxmlformats.org/officeDocument/2006/relationships/hyperlink" Target="https://apidatalake.tesouro.gov.br/ords/cdwhprd/siconfi/tt/rgf?an_exercicio=2023&amp;in_periodicidade=Q&amp;nr_periodo=3&amp;co_tipo_demonstrativo=RGF&amp;no_anexo=RGF-Anexo+01&amp;co_poder=E&amp;id_ente=2307304" TargetMode="External"/><Relationship Id="rId61" Type="http://schemas.openxmlformats.org/officeDocument/2006/relationships/hyperlink" Target="https://contenidos.afip.gob.ar/institucional/estudios/archivos/serie2021.xls" TargetMode="External"/><Relationship Id="rId82" Type="http://schemas.openxmlformats.org/officeDocument/2006/relationships/hyperlink" Target="https://www.argentina.gob.ar/sites/default/files/serie_ron_2003_2025.csv" TargetMode="External"/><Relationship Id="rId199" Type="http://schemas.openxmlformats.org/officeDocument/2006/relationships/hyperlink" Target="https://ftp.ibge.gov.br/Pib_Municipios/2022_2023/base/base_de_dados_2010_2023_xlsx.zip" TargetMode="External"/><Relationship Id="rId203" Type="http://schemas.openxmlformats.org/officeDocument/2006/relationships/hyperlink" Target="https://apidatalake.tesouro.gov.br/ords/cdwhprd/siconfi/tt/dca?an_exercicio=2017&amp;id_ente=2304400&amp;no_anexo=DCA-Anexo+I-C" TargetMode="External"/><Relationship Id="rId385" Type="http://schemas.openxmlformats.org/officeDocument/2006/relationships/hyperlink" Target="https://ftp.ibge.gov.br/Pib_Municipios/2022_2023/base/base_de_dados_2010_2023_xlsx.zip" TargetMode="External"/><Relationship Id="rId571" Type="http://schemas.openxmlformats.org/officeDocument/2006/relationships/hyperlink" Target="https://apidatalake.tesouro.gov.br/ords/cdwhprd/siconfi/tt/rgf?an_exercicio=2025&amp;in_periodicidade=Q&amp;nr_periodo=3&amp;co_tipo_demonstrativo=RGF&amp;no_anexo=RGF-Anexo+01&amp;co_poder=E&amp;id_ente=2307304" TargetMode="External"/><Relationship Id="rId19" Type="http://schemas.openxmlformats.org/officeDocument/2006/relationships/hyperlink" Target="https://www.argentina.gob.ar/noticias/en-el-ano-2025-el-sector-publico-nacional-registro-un-superavit-financiero-de-1453819" TargetMode="External"/><Relationship Id="rId224" Type="http://schemas.openxmlformats.org/officeDocument/2006/relationships/hyperlink" Target="https://apidatalake.tesouro.gov.br/ords/cdwhprd/siconfi/tt/rgf?an_exercicio=2019&amp;in_periodicidade=Q&amp;nr_periodo=3&amp;co_tipo_demonstrativo=RGF&amp;no_anexo=RGF-Anexo+01&amp;co_poder=E&amp;id_ente=2304400" TargetMode="External"/><Relationship Id="rId245" Type="http://schemas.openxmlformats.org/officeDocument/2006/relationships/hyperlink" Target="https://apidatalake.tesouro.gov.br/ords/cdwhprd/siconfi/tt/dca?an_exercicio=2020&amp;id_ente=2304400&amp;no_anexo=DCA-Anexo+I-C" TargetMode="External"/><Relationship Id="rId266" Type="http://schemas.openxmlformats.org/officeDocument/2006/relationships/hyperlink" Target="https://apidatalake.tesouro.gov.br/ords/cdwhprd/siconfi/tt/dca?an_exercicio=2021&amp;id_ente=2304400&amp;no_anexo=DCA-Anexo+I-D" TargetMode="External"/><Relationship Id="rId287" Type="http://schemas.openxmlformats.org/officeDocument/2006/relationships/hyperlink" Target="https://apidatalake.tesouro.gov.br/ords/cdwhprd/siconfi/tt/dca?an_exercicio=2022&amp;id_ente=2304400&amp;no_anexo=DCA-Anexo+I-D" TargetMode="External"/><Relationship Id="rId410" Type="http://schemas.openxmlformats.org/officeDocument/2006/relationships/hyperlink" Target="https://apidatalake.tesouro.gov.br/ords/cdwhprd/siconfi/tt/rgf?an_exercicio=2016&amp;in_periodicidade=Q&amp;nr_periodo=3&amp;co_tipo_demonstrativo=RGF&amp;no_anexo=RGF-Anexo+01&amp;co_poder=E&amp;id_ente=2307304" TargetMode="External"/><Relationship Id="rId431" Type="http://schemas.openxmlformats.org/officeDocument/2006/relationships/hyperlink" Target="https://download.inep.gov.br/ideb/resultados/divulgacao_anos_finais_municipios_2025.zip" TargetMode="External"/><Relationship Id="rId452" Type="http://schemas.openxmlformats.org/officeDocument/2006/relationships/hyperlink" Target="https://apidatalake.tesouro.gov.br/ords/cdwhprd/siconfi/tt/rgf?an_exercicio=2018&amp;in_periodicidade=Q&amp;nr_periodo=3&amp;co_tipo_demonstrativo=RGF&amp;no_anexo=RGF-Anexo+01&amp;co_poder=E&amp;id_ente=2307304" TargetMode="External"/><Relationship Id="rId473" Type="http://schemas.openxmlformats.org/officeDocument/2006/relationships/hyperlink" Target="https://apisidra.ibge.gov.br/values/t/6579/p/2016-2025/v/9324/n6/2307304" TargetMode="External"/><Relationship Id="rId494" Type="http://schemas.openxmlformats.org/officeDocument/2006/relationships/hyperlink" Target="https://apidatalake.tesouro.gov.br/ords/cdwhprd/siconfi/tt/dca?an_exercicio=2020&amp;id_ente=2307304&amp;no_anexo=DCA-Anexo+I-C" TargetMode="External"/><Relationship Id="rId508" Type="http://schemas.openxmlformats.org/officeDocument/2006/relationships/hyperlink" Target="https://download.inep.gov.br/ideb/resultados/divulgacao_anos_iniciais_municipios_2025.zip" TargetMode="External"/><Relationship Id="rId529" Type="http://schemas.openxmlformats.org/officeDocument/2006/relationships/hyperlink" Target="https://apidatalake.tesouro.gov.br/ords/cdwhprd/siconfi/tt/rgf?an_exercicio=2022&amp;in_periodicidade=Q&amp;nr_periodo=3&amp;co_tipo_demonstrativo=RGF&amp;no_anexo=RGF-Anexo+01&amp;co_poder=E&amp;id_ente=2307304" TargetMode="External"/><Relationship Id="rId30" Type="http://schemas.openxmlformats.org/officeDocument/2006/relationships/hyperlink" Target="https://www.imf.org/external/datamapper/api/v2/GGXWDG_NGDP/ARG?periods=2016,2017,2018,2019,2020,2021,2022,2023,2024,2025" TargetMode="External"/><Relationship Id="rId105" Type="http://schemas.openxmlformats.org/officeDocument/2006/relationships/hyperlink" Target="https://www.imf.org/external/datamapper/api/v2/LP/ARG?periods=2016,2017,2018,2019,2020,2021,2022,2023,2024,2025" TargetMode="External"/><Relationship Id="rId126" Type="http://schemas.openxmlformats.org/officeDocument/2006/relationships/hyperlink" Target="https://download.inep.gov.br/ideb/resultados/divulgacao_anos_iniciais_municipios_2025.zip" TargetMode="External"/><Relationship Id="rId147" Type="http://schemas.openxmlformats.org/officeDocument/2006/relationships/hyperlink" Target="https://ftp.ibge.gov.br/Pib_Municipios/2022_2023/base/base_de_dados_2010_2023_xlsx.zip" TargetMode="External"/><Relationship Id="rId168" Type="http://schemas.openxmlformats.org/officeDocument/2006/relationships/hyperlink" Target="https://ftp.ibge.gov.br/Pib_Municipios/2022_2023/base/base_de_dados_2010_2023_xlsx.zip" TargetMode="External"/><Relationship Id="rId312" Type="http://schemas.openxmlformats.org/officeDocument/2006/relationships/hyperlink" Target="https://ftp.ibge.gov.br/Pib_Municipios/2022_2023/base/base_de_dados_2010_2023_xlsx.zip" TargetMode="External"/><Relationship Id="rId333" Type="http://schemas.openxmlformats.org/officeDocument/2006/relationships/hyperlink" Target="https://apidatalake.tesouro.gov.br/ords/cdwhprd/siconfi/tt/dca?an_exercicio=2024&amp;id_ente=2304400&amp;no_anexo=DCA-Anexo+I-C" TargetMode="External"/><Relationship Id="rId354" Type="http://schemas.openxmlformats.org/officeDocument/2006/relationships/hyperlink" Target="https://apidatalake.tesouro.gov.br/ords/cdwhprd/siconfi/tt/dca?an_exercicio=2025&amp;id_ente=2304400&amp;no_anexo=DCA-Anexo+I-C" TargetMode="External"/><Relationship Id="rId540" Type="http://schemas.openxmlformats.org/officeDocument/2006/relationships/hyperlink" Target="https://apidatalake.tesouro.gov.br/ords/cdwhprd/siconfi/tt/rgf?an_exercicio=2023&amp;in_periodicidade=Q&amp;nr_periodo=3&amp;co_tipo_demonstrativo=RGF&amp;no_anexo=RGF-Anexo+01&amp;co_poder=E&amp;id_ente=2307304" TargetMode="External"/><Relationship Id="rId51" Type="http://schemas.openxmlformats.org/officeDocument/2006/relationships/hyperlink" Target="https://www.imf.org/external/datamapper/api/v2/NGDPD/ARG?periods=2016,2017,2018,2019,2020,2021,2022,2023,2024,2025" TargetMode="External"/><Relationship Id="rId72" Type="http://schemas.openxmlformats.org/officeDocument/2006/relationships/hyperlink" Target="https://www.argentina.gob.ar/noticias/en-el-ano-2025-el-sector-publico-nacional-registro-un-superavit-financiero-de-1453819" TargetMode="External"/><Relationship Id="rId93" Type="http://schemas.openxmlformats.org/officeDocument/2006/relationships/hyperlink" Target="https://www.imf.org/external/datamapper/api/v2/LP/ARG?periods=2016,2017,2018,2019,2020,2021,2022,2023,2024,2025" TargetMode="External"/><Relationship Id="rId189" Type="http://schemas.openxmlformats.org/officeDocument/2006/relationships/hyperlink" Target="https://apidatalake.tesouro.gov.br/ords/cdwhprd/siconfi/tt/dca?an_exercicio=2017&amp;id_ente=2304400&amp;no_anexo=DCA-Anexo+I-D" TargetMode="External"/><Relationship Id="rId375" Type="http://schemas.openxmlformats.org/officeDocument/2006/relationships/hyperlink" Target="https://ftp.ibge.gov.br/Pib_Municipios/2022_2023/base/base_de_dados_2010_2023_xlsx.zip" TargetMode="External"/><Relationship Id="rId396" Type="http://schemas.openxmlformats.org/officeDocument/2006/relationships/hyperlink" Target="https://download.inep.gov.br/ideb/resultados/divulgacao_anos_finais_municipios_2025.zip" TargetMode="External"/><Relationship Id="rId561" Type="http://schemas.openxmlformats.org/officeDocument/2006/relationships/hyperlink" Target="https://apidatalake.tesouro.gov.br/ords/cdwhprd/siconfi/tt/dca?an_exercicio=2024&amp;id_ente=2307304&amp;no_anexo=DCA-Anexo+I-D" TargetMode="External"/><Relationship Id="rId582" Type="http://schemas.openxmlformats.org/officeDocument/2006/relationships/hyperlink" Target="https://download.inep.gov.br/ideb/resultados/divulgacao_anos_iniciais_municipios_2025.zip" TargetMode="External"/><Relationship Id="rId3" Type="http://schemas.openxmlformats.org/officeDocument/2006/relationships/hyperlink" Target="https://www.imf.org/external/datamapper/api/v2/NGDPD/ARG?periods=2016,2017,2018,2019,2020,2021,2022,2023,2024,2025" TargetMode="External"/><Relationship Id="rId214" Type="http://schemas.openxmlformats.org/officeDocument/2006/relationships/hyperlink" Target="https://ftp.ibge.gov.br/Pib_Municipios/2022_2023/base/base_de_dados_2010_2023_xlsx.zip" TargetMode="External"/><Relationship Id="rId235" Type="http://schemas.openxmlformats.org/officeDocument/2006/relationships/hyperlink" Target="https://download.inep.gov.br/ideb/resultados/divulgacao_anos_iniciais_municipios_2025.zip" TargetMode="External"/><Relationship Id="rId256" Type="http://schemas.openxmlformats.org/officeDocument/2006/relationships/hyperlink" Target="https://apidatalake.tesouro.gov.br/ords/cdwhprd/siconfi/tt/rgf?an_exercicio=2020&amp;in_periodicidade=Q&amp;nr_periodo=3&amp;co_tipo_demonstrativo=RGF&amp;no_anexo=RGF-Anexo+01&amp;co_poder=E&amp;id_ente=2304400" TargetMode="External"/><Relationship Id="rId277" Type="http://schemas.openxmlformats.org/officeDocument/2006/relationships/hyperlink" Target="https://apidatalake.tesouro.gov.br/ords/cdwhprd/siconfi/tt/rgf?an_exercicio=2021&amp;in_periodicidade=Q&amp;nr_periodo=3&amp;co_tipo_demonstrativo=RGF&amp;no_anexo=RGF-Anexo+01&amp;co_poder=E&amp;id_ente=2304400" TargetMode="External"/><Relationship Id="rId298" Type="http://schemas.openxmlformats.org/officeDocument/2006/relationships/hyperlink" Target="https://apidatalake.tesouro.gov.br/ords/cdwhprd/siconfi/tt/dca?an_exercicio=2022&amp;id_ente=2304400&amp;no_anexo=DCA-Anexo+I-C" TargetMode="External"/><Relationship Id="rId400" Type="http://schemas.openxmlformats.org/officeDocument/2006/relationships/hyperlink" Target="https://download.inep.gov.br/ideb/resultados/divulgacao_anos_finais_municipios_2025.zip" TargetMode="External"/><Relationship Id="rId421" Type="http://schemas.openxmlformats.org/officeDocument/2006/relationships/hyperlink" Target="https://apidatalake.tesouro.gov.br/ords/cdwhprd/siconfi/tt/rgf?an_exercicio=2017&amp;in_periodicidade=Q&amp;nr_periodo=3&amp;co_tipo_demonstrativo=RGF&amp;no_anexo=RGF-Anexo+01&amp;co_poder=E&amp;id_ente=2307304" TargetMode="External"/><Relationship Id="rId442" Type="http://schemas.openxmlformats.org/officeDocument/2006/relationships/hyperlink" Target="https://apidatalake.tesouro.gov.br/ords/cdwhprd/siconfi/tt/dca?an_exercicio=2018&amp;id_ente=2307304&amp;no_anexo=DCA-Anexo+I-C" TargetMode="External"/><Relationship Id="rId463" Type="http://schemas.openxmlformats.org/officeDocument/2006/relationships/hyperlink" Target="https://apidatalake.tesouro.gov.br/ords/cdwhprd/siconfi/tt/dca?an_exercicio=2019&amp;id_ente=2307304&amp;no_anexo=DCA-Anexo+I-D" TargetMode="External"/><Relationship Id="rId484" Type="http://schemas.openxmlformats.org/officeDocument/2006/relationships/hyperlink" Target="https://apidatalake.tesouro.gov.br/ords/cdwhprd/siconfi/tt/dca?an_exercicio=2020&amp;id_ente=2307304&amp;no_anexo=DCA-Anexo+I-D" TargetMode="External"/><Relationship Id="rId519" Type="http://schemas.openxmlformats.org/officeDocument/2006/relationships/hyperlink" Target="https://apidatalake.tesouro.gov.br/ords/cdwhprd/siconfi/tt/rgf?an_exercicio=2022&amp;in_periodicidade=Q&amp;nr_periodo=3&amp;co_tipo_demonstrativo=RGF&amp;no_anexo=RGF-Anexo+01&amp;co_poder=E&amp;id_ente=2307304" TargetMode="External"/><Relationship Id="rId116" Type="http://schemas.openxmlformats.org/officeDocument/2006/relationships/hyperlink" Target="https://www.imf.org/external/datamapper/api/v2/GGXCNL_G01_GDP_PT/ARG?periods=2016,2017,2018,2019,2020,2021,2022,2023,2024,2025" TargetMode="External"/><Relationship Id="rId137" Type="http://schemas.openxmlformats.org/officeDocument/2006/relationships/hyperlink" Target="https://download.inep.gov.br/ideb/resultados/divulgacao_anos_finais_municipios_2025.zip" TargetMode="External"/><Relationship Id="rId158" Type="http://schemas.openxmlformats.org/officeDocument/2006/relationships/hyperlink" Target="https://ftp.ibge.gov.br/Pib_Municipios/2022_2023/base/base_de_dados_2010_2023_xlsx.zip" TargetMode="External"/><Relationship Id="rId302" Type="http://schemas.openxmlformats.org/officeDocument/2006/relationships/hyperlink" Target="https://apidatalake.tesouro.gov.br/ords/cdwhprd/siconfi/tt/dca?an_exercicio=2023&amp;id_ente=2304400&amp;no_anexo=DCA-Anexo+I-D" TargetMode="External"/><Relationship Id="rId323" Type="http://schemas.openxmlformats.org/officeDocument/2006/relationships/hyperlink" Target="https://apidatalake.tesouro.gov.br/ords/cdwhprd/siconfi/tt/dca?an_exercicio=2024&amp;id_ente=2304400&amp;no_anexo=DCA-Anexo+I-C" TargetMode="External"/><Relationship Id="rId344" Type="http://schemas.openxmlformats.org/officeDocument/2006/relationships/hyperlink" Target="https://download.inep.gov.br/ideb/resultados/divulgacao_anos_finais_municipios_2025.zip" TargetMode="External"/><Relationship Id="rId530" Type="http://schemas.openxmlformats.org/officeDocument/2006/relationships/hyperlink" Target="https://apidatalake.tesouro.gov.br/ords/cdwhprd/siconfi/tt/dca?an_exercicio=2022&amp;id_ente=2307304&amp;no_anexo=DCA-Anexo+I-C" TargetMode="External"/><Relationship Id="rId20" Type="http://schemas.openxmlformats.org/officeDocument/2006/relationships/hyperlink" Target="https://www.imf.org/external/datamapper/api/v2/GGXCNL_G01_GDP_PT/ARG?periods=2016,2017,2018,2019,2020,2021,2022,2023,2024,2025" TargetMode="External"/><Relationship Id="rId41" Type="http://schemas.openxmlformats.org/officeDocument/2006/relationships/hyperlink" Target="https://www.imf.org/external/datamapper/api/v2/exp/ARG?periods=2016,2017,2018,2019,2020,2021,2022,2023,2024,2025" TargetMode="External"/><Relationship Id="rId62" Type="http://schemas.openxmlformats.org/officeDocument/2006/relationships/hyperlink" Target="https://www.imf.org/external/datamapper/api/v2/PCPIPCH/ARG?periods=2016,2017,2018,2019,2020,2021,2022,2023,2024,2025" TargetMode="External"/><Relationship Id="rId83" Type="http://schemas.openxmlformats.org/officeDocument/2006/relationships/hyperlink" Target="https://www.argentina.gob.ar/noticias/en-el-ano-2025-el-sector-publico-nacional-registro-un-superavit-financiero-de-1453819" TargetMode="External"/><Relationship Id="rId179" Type="http://schemas.openxmlformats.org/officeDocument/2006/relationships/hyperlink" Target="https://apidatalake.tesouro.gov.br/ords/cdwhprd/siconfi/tt/rgf?an_exercicio=2016&amp;in_periodicidade=Q&amp;nr_periodo=3&amp;co_tipo_demonstrativo=RGF&amp;no_anexo=RGF-Anexo+01&amp;co_poder=E&amp;id_ente=2304400" TargetMode="External"/><Relationship Id="rId365" Type="http://schemas.openxmlformats.org/officeDocument/2006/relationships/hyperlink" Target="https://download.inep.gov.br/ideb/resultados/divulgacao_anos_iniciais_municipios_2025.zip" TargetMode="External"/><Relationship Id="rId386" Type="http://schemas.openxmlformats.org/officeDocument/2006/relationships/hyperlink" Target="https://download.inep.gov.br/ideb/resultados/divulgacao_anos_finais_municipios_2025.zip" TargetMode="External"/><Relationship Id="rId551" Type="http://schemas.openxmlformats.org/officeDocument/2006/relationships/hyperlink" Target="https://apidatalake.tesouro.gov.br/ords/cdwhprd/siconfi/tt/rgf?an_exercicio=2023&amp;in_periodicidade=Q&amp;nr_periodo=3&amp;co_tipo_demonstrativo=RGF&amp;no_anexo=RGF-Anexo+01&amp;co_poder=E&amp;id_ente=2307304" TargetMode="External"/><Relationship Id="rId572" Type="http://schemas.openxmlformats.org/officeDocument/2006/relationships/hyperlink" Target="https://apidatalake.tesouro.gov.br/ords/cdwhprd/siconfi/tt/dca?an_exercicio=2025&amp;id_ente=2307304&amp;no_anexo=DCA-Anexo+I-C" TargetMode="External"/><Relationship Id="rId190" Type="http://schemas.openxmlformats.org/officeDocument/2006/relationships/hyperlink" Target="https://apidatalake.tesouro.gov.br/ords/cdwhprd/siconfi/tt/dca?an_exercicio=2017&amp;id_ente=2304400&amp;no_anexo=DCA-Anexo+I-D" TargetMode="External"/><Relationship Id="rId204" Type="http://schemas.openxmlformats.org/officeDocument/2006/relationships/hyperlink" Target="https://apidatalake.tesouro.gov.br/docs/siconfi/" TargetMode="External"/><Relationship Id="rId225" Type="http://schemas.openxmlformats.org/officeDocument/2006/relationships/hyperlink" Target="https://apidatalake.tesouro.gov.br/ords/cdwhprd/siconfi/tt/dca?an_exercicio=2019&amp;id_ente=2304400&amp;no_anexo=DCA-Anexo+I-C" TargetMode="External"/><Relationship Id="rId246" Type="http://schemas.openxmlformats.org/officeDocument/2006/relationships/hyperlink" Target="https://apidatalake.tesouro.gov.br/ords/cdwhprd/siconfi/tt/rgf?an_exercicio=2020&amp;in_periodicidade=Q&amp;nr_periodo=3&amp;co_tipo_demonstrativo=RGF&amp;no_anexo=RGF-Anexo+01&amp;co_poder=E&amp;id_ente=2304400" TargetMode="External"/><Relationship Id="rId267" Type="http://schemas.openxmlformats.org/officeDocument/2006/relationships/hyperlink" Target="https://apidatalake.tesouro.gov.br/ords/cdwhprd/siconfi/tt/rgf?an_exercicio=2021&amp;in_periodicidade=Q&amp;nr_periodo=3&amp;co_tipo_demonstrativo=RGF&amp;no_anexo=RGF-Anexo+01&amp;co_poder=E&amp;id_ente=2304400" TargetMode="External"/><Relationship Id="rId288" Type="http://schemas.openxmlformats.org/officeDocument/2006/relationships/hyperlink" Target="https://apidatalake.tesouro.gov.br/ords/cdwhprd/siconfi/tt/dca?an_exercicio=2022&amp;id_ente=2304400&amp;no_anexo=DCA-Anexo+I-D" TargetMode="External"/><Relationship Id="rId411" Type="http://schemas.openxmlformats.org/officeDocument/2006/relationships/hyperlink" Target="https://ftp.ibge.gov.br/Pib_Municipios/2022_2023/base/base_de_dados_2010_2023_xlsx.zip" TargetMode="External"/><Relationship Id="rId432" Type="http://schemas.openxmlformats.org/officeDocument/2006/relationships/hyperlink" Target="https://download.inep.gov.br/ideb/resultados/divulgacao_anos_iniciais_municipios_2025.zip" TargetMode="External"/><Relationship Id="rId453" Type="http://schemas.openxmlformats.org/officeDocument/2006/relationships/hyperlink" Target="https://apidatalake.tesouro.gov.br/ords/cdwhprd/siconfi/tt/rgf?an_exercicio=2018&amp;in_periodicidade=Q&amp;nr_periodo=3&amp;co_tipo_demonstrativo=RGF&amp;no_anexo=RGF-Anexo+01&amp;co_poder=E&amp;id_ente=2307304" TargetMode="External"/><Relationship Id="rId474" Type="http://schemas.openxmlformats.org/officeDocument/2006/relationships/hyperlink" Target="https://apidatalake.tesouro.gov.br/ords/cdwhprd/siconfi/tt/rgf?an_exercicio=2019&amp;in_periodicidade=Q&amp;nr_periodo=3&amp;co_tipo_demonstrativo=RGF&amp;no_anexo=RGF-Anexo+01&amp;co_poder=E&amp;id_ente=2307304" TargetMode="External"/><Relationship Id="rId509" Type="http://schemas.openxmlformats.org/officeDocument/2006/relationships/hyperlink" Target="https://ftp.ibge.gov.br/Pib_Municipios/2022_2023/base/base_de_dados_2010_2023_xlsx.zip" TargetMode="External"/><Relationship Id="rId106" Type="http://schemas.openxmlformats.org/officeDocument/2006/relationships/hyperlink" Target="https://www.argentina.gob.ar/sites/default/files/serie_ron_2003_2025.csv" TargetMode="External"/><Relationship Id="rId127" Type="http://schemas.openxmlformats.org/officeDocument/2006/relationships/hyperlink" Target="https://download.inep.gov.br/ideb/resultados/divulgacao_anos_finais_municipios_2025.zip" TargetMode="External"/><Relationship Id="rId313" Type="http://schemas.openxmlformats.org/officeDocument/2006/relationships/hyperlink" Target="https://ftp.ibge.gov.br/Pib_Municipios/2022_2023/base/base_de_dados_2010_2023_xlsx.zip" TargetMode="External"/><Relationship Id="rId495" Type="http://schemas.openxmlformats.org/officeDocument/2006/relationships/hyperlink" Target="https://apidatalake.tesouro.gov.br/ords/cdwhprd/siconfi/tt/dca?an_exercicio=2020&amp;id_ente=2307304&amp;no_anexo=DCA-Anexo+I-C" TargetMode="External"/><Relationship Id="rId10" Type="http://schemas.openxmlformats.org/officeDocument/2006/relationships/hyperlink" Target="https://www.argentina.gob.ar/sites/default/files/serie_ron_2003_2025.csv" TargetMode="External"/><Relationship Id="rId31" Type="http://schemas.openxmlformats.org/officeDocument/2006/relationships/hyperlink" Target="https://www.argentina.gob.ar/noticias/en-el-ano-2025-el-sector-publico-nacional-registro-un-superavit-financiero-de-1453819" TargetMode="External"/><Relationship Id="rId52" Type="http://schemas.openxmlformats.org/officeDocument/2006/relationships/hyperlink" Target="https://www.imf.org/external/datamapper/api/v2/NGDP_RPCH/ARG?periods=2016,2017,2018,2019,2020,2021,2022,2023,2024,2025" TargetMode="External"/><Relationship Id="rId73" Type="http://schemas.openxmlformats.org/officeDocument/2006/relationships/hyperlink" Target="https://contenidos.afip.gob.ar/institucional/estudios/archivos/serie2022.xls" TargetMode="External"/><Relationship Id="rId94" Type="http://schemas.openxmlformats.org/officeDocument/2006/relationships/hyperlink" Target="https://www.argentina.gob.ar/sites/default/files/serie_ron_2003_2025.csv" TargetMode="External"/><Relationship Id="rId148" Type="http://schemas.openxmlformats.org/officeDocument/2006/relationships/hyperlink" Target="https://ftp.ibge.gov.br/Pib_Municipios/2022_2023/base/base_de_dados_2010_2023_xlsx.zip" TargetMode="External"/><Relationship Id="rId169" Type="http://schemas.openxmlformats.org/officeDocument/2006/relationships/hyperlink" Target="https://apidatalake.tesouro.gov.br/ords/cdwhprd/siconfi/tt/dca?an_exercicio=2016&amp;id_ente=2304400&amp;no_anexo=DCA-Anexo+I-C" TargetMode="External"/><Relationship Id="rId334" Type="http://schemas.openxmlformats.org/officeDocument/2006/relationships/hyperlink" Target="https://apidatalake.tesouro.gov.br/ords/cdwhprd/siconfi/tt/dca?an_exercicio=2024&amp;id_ente=2304400&amp;no_anexo=DCA-Anexo+I-C" TargetMode="External"/><Relationship Id="rId355" Type="http://schemas.openxmlformats.org/officeDocument/2006/relationships/hyperlink" Target="https://www.ibge.gov.br/cidades-e-estados/ce/fortaleza.html" TargetMode="External"/><Relationship Id="rId376" Type="http://schemas.openxmlformats.org/officeDocument/2006/relationships/hyperlink" Target="https://download.inep.gov.br/ideb/resultados/divulgacao_anos_finais_municipios_2025.zip" TargetMode="External"/><Relationship Id="rId397" Type="http://schemas.openxmlformats.org/officeDocument/2006/relationships/hyperlink" Target="https://download.inep.gov.br/ideb/resultados/divulgacao_anos_iniciais_municipios_2025.zip" TargetMode="External"/><Relationship Id="rId520" Type="http://schemas.openxmlformats.org/officeDocument/2006/relationships/hyperlink" Target="https://apidatalake.tesouro.gov.br/ords/cdwhprd/siconfi/tt/dca?an_exercicio=2022&amp;id_ente=2307304&amp;no_anexo=DCA-Anexo+I-C" TargetMode="External"/><Relationship Id="rId541" Type="http://schemas.openxmlformats.org/officeDocument/2006/relationships/hyperlink" Target="https://download.inep.gov.br/ideb/resultados/divulgacao_anos_finais_municipios_2025.zip" TargetMode="External"/><Relationship Id="rId562" Type="http://schemas.openxmlformats.org/officeDocument/2006/relationships/hyperlink" Target="https://apidatalake.tesouro.gov.br/ords/cdwhprd/siconfi/tt/rgf?an_exercicio=2024&amp;in_periodicidade=Q&amp;nr_periodo=3&amp;co_tipo_demonstrativo=RGF&amp;no_anexo=RGF-Anexo+01&amp;co_poder=E&amp;id_ente=2307304" TargetMode="External"/><Relationship Id="rId583" Type="http://schemas.openxmlformats.org/officeDocument/2006/relationships/hyperlink" Target="https://apisidra.ibge.gov.br/values/t/6579/p/2016-2025/v/9324/n6/2307304" TargetMode="External"/><Relationship Id="rId4" Type="http://schemas.openxmlformats.org/officeDocument/2006/relationships/hyperlink" Target="https://www.imf.org/external/datamapper/api/v2/NGDP_RPCH/ARG?periods=2016,2017,2018,2019,2020,2021,2022,2023,2024,2025" TargetMode="External"/><Relationship Id="rId180" Type="http://schemas.openxmlformats.org/officeDocument/2006/relationships/hyperlink" Target="https://apidatalake.tesouro.gov.br/ords/cdwhprd/siconfi/tt/rgf?an_exercicio=2016&amp;in_periodicidade=Q&amp;nr_periodo=3&amp;co_tipo_demonstrativo=RGF&amp;no_anexo=RGF-Anexo+01&amp;co_poder=E&amp;id_ente=2304400" TargetMode="External"/><Relationship Id="rId215" Type="http://schemas.openxmlformats.org/officeDocument/2006/relationships/hyperlink" Target="https://ftp.ibge.gov.br/Pib_Municipios/2022_2023/base/base_de_dados_2010_2023_xlsx.zip" TargetMode="External"/><Relationship Id="rId236" Type="http://schemas.openxmlformats.org/officeDocument/2006/relationships/hyperlink" Target="https://ftp.ibge.gov.br/Pib_Municipios/2022_2023/base/base_de_dados_2010_2023_xlsx.zip" TargetMode="External"/><Relationship Id="rId257" Type="http://schemas.openxmlformats.org/officeDocument/2006/relationships/hyperlink" Target="https://apidatalake.tesouro.gov.br/ords/cdwhprd/siconfi/tt/dca?an_exercicio=2020&amp;id_ente=2304400&amp;no_anexo=DCA-Anexo+I-C" TargetMode="External"/><Relationship Id="rId278" Type="http://schemas.openxmlformats.org/officeDocument/2006/relationships/hyperlink" Target="https://apidatalake.tesouro.gov.br/ords/cdwhprd/siconfi/tt/rgf?an_exercicio=2021&amp;in_periodicidade=Q&amp;nr_periodo=3&amp;co_tipo_demonstrativo=RGF&amp;no_anexo=RGF-Anexo+01&amp;co_poder=E&amp;id_ente=2304400" TargetMode="External"/><Relationship Id="rId401" Type="http://schemas.openxmlformats.org/officeDocument/2006/relationships/hyperlink" Target="https://download.inep.gov.br/ideb/resultados/divulgacao_anos_iniciais_municipios_2025.zip" TargetMode="External"/><Relationship Id="rId422" Type="http://schemas.openxmlformats.org/officeDocument/2006/relationships/hyperlink" Target="https://apidatalake.tesouro.gov.br/ords/cdwhprd/siconfi/tt/dca?an_exercicio=2017&amp;id_ente=2307304&amp;no_anexo=DCA-Anexo+I-C" TargetMode="External"/><Relationship Id="rId443" Type="http://schemas.openxmlformats.org/officeDocument/2006/relationships/hyperlink" Target="https://apidatalake.tesouro.gov.br/ords/cdwhprd/siconfi/tt/rgf?an_exercicio=2018&amp;in_periodicidade=Q&amp;nr_periodo=3&amp;co_tipo_demonstrativo=RGF&amp;no_anexo=RGF-Anexo+01&amp;co_poder=E&amp;id_ente=2307304" TargetMode="External"/><Relationship Id="rId464" Type="http://schemas.openxmlformats.org/officeDocument/2006/relationships/hyperlink" Target="https://apidatalake.tesouro.gov.br/ords/cdwhprd/siconfi/tt/rgf?an_exercicio=2019&amp;in_periodicidade=Q&amp;nr_periodo=3&amp;co_tipo_demonstrativo=RGF&amp;no_anexo=RGF-Anexo+01&amp;co_poder=E&amp;id_ente=2307304" TargetMode="External"/><Relationship Id="rId303" Type="http://schemas.openxmlformats.org/officeDocument/2006/relationships/hyperlink" Target="https://apidatalake.tesouro.gov.br/ords/cdwhprd/siconfi/tt/dca?an_exercicio=2023&amp;id_ente=2304400&amp;no_anexo=DCA-Anexo+I-D" TargetMode="External"/><Relationship Id="rId485" Type="http://schemas.openxmlformats.org/officeDocument/2006/relationships/hyperlink" Target="https://apidatalake.tesouro.gov.br/ords/cdwhprd/siconfi/tt/dca?an_exercicio=2020&amp;id_ente=2307304&amp;no_anexo=DCA-Anexo+I-D" TargetMode="External"/><Relationship Id="rId42" Type="http://schemas.openxmlformats.org/officeDocument/2006/relationships/hyperlink" Target="https://www.imf.org/external/datamapper/api/v2/GGXWDG_NGDP/ARG?periods=2016,2017,2018,2019,2020,2021,2022,2023,2024,2025" TargetMode="External"/><Relationship Id="rId84" Type="http://schemas.openxmlformats.org/officeDocument/2006/relationships/hyperlink" Target="https://www.argentina.gob.ar/noticias/en-el-ano-2025-el-sector-publico-nacional-registro-un-superavit-financiero-de-1453819" TargetMode="External"/><Relationship Id="rId138" Type="http://schemas.openxmlformats.org/officeDocument/2006/relationships/hyperlink" Target="https://download.inep.gov.br/ideb/resultados/divulgacao_anos_iniciais_municipios_2025.zip" TargetMode="External"/><Relationship Id="rId345" Type="http://schemas.openxmlformats.org/officeDocument/2006/relationships/hyperlink" Target="https://download.inep.gov.br/ideb/resultados/divulgacao_anos_iniciais_municipios_2025.zip" TargetMode="External"/><Relationship Id="rId387" Type="http://schemas.openxmlformats.org/officeDocument/2006/relationships/hyperlink" Target="https://download.inep.gov.br/ideb/resultados/divulgacao_anos_iniciais_municipios_2025.zip" TargetMode="External"/><Relationship Id="rId510" Type="http://schemas.openxmlformats.org/officeDocument/2006/relationships/hyperlink" Target="https://ftp.ibge.gov.br/Pib_Municipios/2022_2023/base/base_de_dados_2010_2023_xlsx.zip" TargetMode="External"/><Relationship Id="rId552" Type="http://schemas.openxmlformats.org/officeDocument/2006/relationships/hyperlink" Target="https://apidatalake.tesouro.gov.br/ords/cdwhprd/siconfi/tt/dca?an_exercicio=2023&amp;id_ente=2307304&amp;no_anexo=DCA-Anexo+I-C" TargetMode="External"/><Relationship Id="rId191" Type="http://schemas.openxmlformats.org/officeDocument/2006/relationships/hyperlink" Target="https://apidatalake.tesouro.gov.br/ords/cdwhprd/siconfi/tt/rgf?an_exercicio=2017&amp;in_periodicidade=Q&amp;nr_periodo=3&amp;co_tipo_demonstrativo=RGF&amp;no_anexo=RGF-Anexo+01&amp;co_poder=E&amp;id_ente=2304400" TargetMode="External"/><Relationship Id="rId205" Type="http://schemas.openxmlformats.org/officeDocument/2006/relationships/hyperlink" Target="https://apidatalake.tesouro.gov.br/ords/cdwhprd/siconfi/tt/dca?an_exercicio=2017&amp;id_ente=2304400&amp;no_anexo=DCA-Anexo+I-C" TargetMode="External"/><Relationship Id="rId247" Type="http://schemas.openxmlformats.org/officeDocument/2006/relationships/hyperlink" Target="https://apidatalake.tesouro.gov.br/ords/cdwhprd/siconfi/tt/dca?an_exercicio=2020&amp;id_ente=2304400&amp;no_anexo=DCA-Anexo+I-C" TargetMode="External"/><Relationship Id="rId412" Type="http://schemas.openxmlformats.org/officeDocument/2006/relationships/hyperlink" Target="https://ftp.ibge.gov.br/Pib_Municipios/2022_2023/base/base_de_dados_2010_2023_xlsx.zip" TargetMode="External"/><Relationship Id="rId107" Type="http://schemas.openxmlformats.org/officeDocument/2006/relationships/hyperlink" Target="https://www.argentina.gob.ar/noticias/en-el-ano-2025-el-sector-publico-nacional-registro-un-superavit-financiero-de-1453819" TargetMode="External"/><Relationship Id="rId289" Type="http://schemas.openxmlformats.org/officeDocument/2006/relationships/hyperlink" Target="https://apidatalake.tesouro.gov.br/ords/cdwhprd/siconfi/tt/rgf?an_exercicio=2022&amp;in_periodicidade=Q&amp;nr_periodo=3&amp;co_tipo_demonstrativo=RGF&amp;no_anexo=RGF-Anexo+01&amp;co_poder=E&amp;id_ente=2304400" TargetMode="External"/><Relationship Id="rId454" Type="http://schemas.openxmlformats.org/officeDocument/2006/relationships/hyperlink" Target="https://apidatalake.tesouro.gov.br/ords/cdwhprd/siconfi/tt/dca?an_exercicio=2018&amp;id_ente=2307304&amp;no_anexo=DCA-Anexo+I-C" TargetMode="External"/><Relationship Id="rId496" Type="http://schemas.openxmlformats.org/officeDocument/2006/relationships/hyperlink" Target="https://apidatalake.tesouro.gov.br/ords/cdwhprd/siconfi/tt/dca?an_exercicio=2021&amp;id_ente=2307304&amp;no_anexo=DCA-Anexo+I-C" TargetMode="External"/><Relationship Id="rId11" Type="http://schemas.openxmlformats.org/officeDocument/2006/relationships/hyperlink" Target="https://www.argentina.gob.ar/noticias/en-el-ano-2025-el-sector-publico-nacional-registro-un-superavit-financiero-de-1453819" TargetMode="External"/><Relationship Id="rId53" Type="http://schemas.openxmlformats.org/officeDocument/2006/relationships/hyperlink" Target="https://www.imf.org/external/datamapper/api/v2/exp/ARG?periods=2016,2017,2018,2019,2020,2021,2022,2023,2024,2025" TargetMode="External"/><Relationship Id="rId149" Type="http://schemas.openxmlformats.org/officeDocument/2006/relationships/hyperlink" Target="https://ftp.ibge.gov.br/Pib_Municipios/2022_2023/base/base_de_dados_2010_2023_xlsx.zip" TargetMode="External"/><Relationship Id="rId314" Type="http://schemas.openxmlformats.org/officeDocument/2006/relationships/hyperlink" Target="https://apisidra.ibge.gov.br/values/t/6579/p/2016-2025/v/9324/n6/2304400" TargetMode="External"/><Relationship Id="rId356" Type="http://schemas.openxmlformats.org/officeDocument/2006/relationships/hyperlink" Target="https://download.inep.gov.br/ideb/resultados/divulgacao_anos_finais_municipios_2025.zip" TargetMode="External"/><Relationship Id="rId398" Type="http://schemas.openxmlformats.org/officeDocument/2006/relationships/hyperlink" Target="https://download.inep.gov.br/ideb/resultados/divulgacao_anos_finais_municipios_2025.zip" TargetMode="External"/><Relationship Id="rId521" Type="http://schemas.openxmlformats.org/officeDocument/2006/relationships/hyperlink" Target="https://apidatalake.tesouro.gov.br/ords/cdwhprd/siconfi/tt/dca?an_exercicio=2022&amp;id_ente=2307304&amp;no_anexo=DCA-Anexo+I-D" TargetMode="External"/><Relationship Id="rId563" Type="http://schemas.openxmlformats.org/officeDocument/2006/relationships/hyperlink" Target="https://apisidra.ibge.gov.br/values/t/6579/p/2016-2025/v/9324/n6/2307304" TargetMode="External"/><Relationship Id="rId95" Type="http://schemas.openxmlformats.org/officeDocument/2006/relationships/hyperlink" Target="https://www.argentina.gob.ar/noticias/en-el-ano-2025-el-sector-publico-nacional-registro-un-superavit-financiero-de-1453819" TargetMode="External"/><Relationship Id="rId160" Type="http://schemas.openxmlformats.org/officeDocument/2006/relationships/hyperlink" Target="https://ftp.ibge.gov.br/Pib_Municipios/2022_2023/base/base_de_dados_2010_2023_xlsx.zip" TargetMode="External"/><Relationship Id="rId216" Type="http://schemas.openxmlformats.org/officeDocument/2006/relationships/hyperlink" Target="https://apisidra.ibge.gov.br/values/t/6579/p/2016-2025/v/9324/n6/2304400" TargetMode="External"/><Relationship Id="rId423" Type="http://schemas.openxmlformats.org/officeDocument/2006/relationships/hyperlink" Target="https://apidatalake.tesouro.gov.br/ords/cdwhprd/siconfi/tt/dca?an_exercicio=2017&amp;id_ente=2307304&amp;no_anexo=DCA-Anexo+I-D" TargetMode="External"/><Relationship Id="rId258" Type="http://schemas.openxmlformats.org/officeDocument/2006/relationships/hyperlink" Target="https://apidatalake.tesouro.gov.br/docs/siconfi/" TargetMode="External"/><Relationship Id="rId465" Type="http://schemas.openxmlformats.org/officeDocument/2006/relationships/hyperlink" Target="https://download.inep.gov.br/ideb/resultados/divulgacao_anos_finais_municipios_2025.zip" TargetMode="External"/><Relationship Id="rId22" Type="http://schemas.openxmlformats.org/officeDocument/2006/relationships/hyperlink" Target="https://www.argentina.gob.ar/sites/default/files/serie_ron_2003_2025.csv" TargetMode="External"/><Relationship Id="rId64" Type="http://schemas.openxmlformats.org/officeDocument/2006/relationships/hyperlink" Target="https://www.imf.org/external/datamapper/api/v2/NGDP_RPCH/ARG?periods=2016,2017,2018,2019,2020,2021,2022,2023,2024,2025" TargetMode="External"/><Relationship Id="rId118" Type="http://schemas.openxmlformats.org/officeDocument/2006/relationships/hyperlink" Target="https://www.argentina.gob.ar/sites/default/files/serie_ron_2003_2025.csv" TargetMode="External"/><Relationship Id="rId325" Type="http://schemas.openxmlformats.org/officeDocument/2006/relationships/hyperlink" Target="https://apidatalake.tesouro.gov.br/ords/cdwhprd/siconfi/tt/dca?an_exercicio=2024&amp;id_ente=2304400&amp;no_anexo=DCA-Anexo+I-D" TargetMode="External"/><Relationship Id="rId367" Type="http://schemas.openxmlformats.org/officeDocument/2006/relationships/hyperlink" Target="https://download.inep.gov.br/ideb/resultados/divulgacao_anos_iniciais_municipios_2025.zip" TargetMode="External"/><Relationship Id="rId532" Type="http://schemas.openxmlformats.org/officeDocument/2006/relationships/hyperlink" Target="https://apidatalake.tesouro.gov.br/ords/cdwhprd/siconfi/tt/dca?an_exercicio=2022&amp;id_ente=2307304&amp;no_anexo=DCA-Anexo+I-C" TargetMode="External"/><Relationship Id="rId574" Type="http://schemas.openxmlformats.org/officeDocument/2006/relationships/hyperlink" Target="https://apidatalake.tesouro.gov.br/ords/cdwhprd/siconfi/tt/dca?an_exercicio=2025&amp;id_ente=2307304&amp;no_anexo=DCA-Anexo+I-D" TargetMode="External"/><Relationship Id="rId171" Type="http://schemas.openxmlformats.org/officeDocument/2006/relationships/hyperlink" Target="https://apidatalake.tesouro.gov.br/ords/cdwhprd/siconfi/tt/dca?an_exercicio=2016&amp;id_ente=2304400&amp;no_anexo=DCA-Anexo+I-C" TargetMode="External"/><Relationship Id="rId227" Type="http://schemas.openxmlformats.org/officeDocument/2006/relationships/hyperlink" Target="https://apidatalake.tesouro.gov.br/ords/cdwhprd/siconfi/tt/dca?an_exercicio=2019&amp;id_ente=2304400&amp;no_anexo=DCA-Anexo+I-D" TargetMode="External"/><Relationship Id="rId269" Type="http://schemas.openxmlformats.org/officeDocument/2006/relationships/hyperlink" Target="https://download.inep.gov.br/ideb/resultados/divulgacao_anos_iniciais_municipios_2025.zip" TargetMode="External"/><Relationship Id="rId434" Type="http://schemas.openxmlformats.org/officeDocument/2006/relationships/hyperlink" Target="https://ftp.ibge.gov.br/Pib_Municipios/2022_2023/base/base_de_dados_2010_2023_xlsx.zip" TargetMode="External"/><Relationship Id="rId476" Type="http://schemas.openxmlformats.org/officeDocument/2006/relationships/hyperlink" Target="https://apidatalake.tesouro.gov.br/ords/cdwhprd/siconfi/tt/dca?an_exercicio=2019&amp;id_ente=2307304&amp;no_anexo=DCA-Anexo+I-C" TargetMode="External"/><Relationship Id="rId33" Type="http://schemas.openxmlformats.org/officeDocument/2006/relationships/hyperlink" Target="https://www.imf.org/external/datamapper/api/v2/LP/ARG?periods=2016,2017,2018,2019,2020,2021,2022,2023,2024,2025" TargetMode="External"/><Relationship Id="rId129" Type="http://schemas.openxmlformats.org/officeDocument/2006/relationships/hyperlink" Target="https://download.inep.gov.br/ideb/resultados/divulgacao_anos_finais_municipios_2025.zip" TargetMode="External"/><Relationship Id="rId280" Type="http://schemas.openxmlformats.org/officeDocument/2006/relationships/hyperlink" Target="https://apidatalake.tesouro.gov.br/docs/siconfi/" TargetMode="External"/><Relationship Id="rId336" Type="http://schemas.openxmlformats.org/officeDocument/2006/relationships/hyperlink" Target="https://apidatalake.tesouro.gov.br/ords/cdwhprd/siconfi/tt/rgf?an_exercicio=2025&amp;in_periodicidade=Q&amp;nr_periodo=3&amp;co_tipo_demonstrativo=RGF&amp;no_anexo=RGF-Anexo+01&amp;co_poder=E&amp;id_ente=2304400" TargetMode="External"/><Relationship Id="rId501" Type="http://schemas.openxmlformats.org/officeDocument/2006/relationships/hyperlink" Target="https://apidatalake.tesouro.gov.br/ords/cdwhprd/siconfi/tt/dca?an_exercicio=2021&amp;id_ente=2307304&amp;no_anexo=DCA-Anexo+I-D" TargetMode="External"/><Relationship Id="rId543" Type="http://schemas.openxmlformats.org/officeDocument/2006/relationships/hyperlink" Target="https://download.inep.gov.br/ideb/resultados/divulgacao_anos_finais_municipios_2025.zip" TargetMode="External"/><Relationship Id="rId75" Type="http://schemas.openxmlformats.org/officeDocument/2006/relationships/hyperlink" Target="https://www.imf.org/external/datamapper/api/v2/NGDPD/ARG?periods=2016,2017,2018,2019,2020,2021,2022,2023,2024,2025" TargetMode="External"/><Relationship Id="rId140" Type="http://schemas.openxmlformats.org/officeDocument/2006/relationships/hyperlink" Target="https://ftp.ibge.gov.br/Pib_Municipios/2022_2023/base/base_de_dados_2010_2023_xlsx.zip" TargetMode="External"/><Relationship Id="rId182" Type="http://schemas.openxmlformats.org/officeDocument/2006/relationships/hyperlink" Target="https://apidatalake.tesouro.gov.br/docs/siconfi/" TargetMode="External"/><Relationship Id="rId378" Type="http://schemas.openxmlformats.org/officeDocument/2006/relationships/hyperlink" Target="https://download.inep.gov.br/ideb/resultados/divulgacao_anos_finais_municipios_2025.zip" TargetMode="External"/><Relationship Id="rId403" Type="http://schemas.openxmlformats.org/officeDocument/2006/relationships/hyperlink" Target="https://ftp.ibge.gov.br/Pib_Municipios/2022_2023/base/base_de_dados_2010_2023_xlsx.zip" TargetMode="External"/><Relationship Id="rId585" Type="http://schemas.openxmlformats.org/officeDocument/2006/relationships/hyperlink" Target="https://apidatalake.tesouro.gov.br/ords/cdwhprd/siconfi/tt/rgf?an_exercicio=2025&amp;in_periodicidade=Q&amp;nr_periodo=3&amp;co_tipo_demonstrativo=RGF&amp;no_anexo=RGF-Anexo+01&amp;co_poder=E&amp;id_ente=2307304" TargetMode="External"/><Relationship Id="rId6" Type="http://schemas.openxmlformats.org/officeDocument/2006/relationships/hyperlink" Target="https://www.imf.org/external/datamapper/api/v2/GGXWDG_NGDP/ARG?periods=2016,2017,2018,2019,2020,2021,2022,2023,2024,2025" TargetMode="External"/><Relationship Id="rId238" Type="http://schemas.openxmlformats.org/officeDocument/2006/relationships/hyperlink" Target="https://apisidra.ibge.gov.br/values/t/6579/p/2016-2025/v/9324/n6/2304400" TargetMode="External"/><Relationship Id="rId445" Type="http://schemas.openxmlformats.org/officeDocument/2006/relationships/hyperlink" Target="https://apidatalake.tesouro.gov.br/ords/cdwhprd/siconfi/tt/dca?an_exercicio=2018&amp;id_ente=2307304&amp;no_anexo=DCA-Anexo+I-D" TargetMode="External"/><Relationship Id="rId487" Type="http://schemas.openxmlformats.org/officeDocument/2006/relationships/hyperlink" Target="https://ftp.ibge.gov.br/Pib_Municipios/2022_2023/base/base_de_dados_2010_2023_xlsx.zip" TargetMode="External"/><Relationship Id="rId291" Type="http://schemas.openxmlformats.org/officeDocument/2006/relationships/hyperlink" Target="https://ftp.ibge.gov.br/Pib_Municipios/2022_2023/base/base_de_dados_2010_2023_xlsx.zip" TargetMode="External"/><Relationship Id="rId305" Type="http://schemas.openxmlformats.org/officeDocument/2006/relationships/hyperlink" Target="https://apidatalake.tesouro.gov.br/ords/cdwhprd/siconfi/tt/rgf?an_exercicio=2023&amp;in_periodicidade=Q&amp;nr_periodo=3&amp;co_tipo_demonstrativo=RGF&amp;no_anexo=RGF-Anexo+01&amp;co_poder=E&amp;id_ente=2304400" TargetMode="External"/><Relationship Id="rId347" Type="http://schemas.openxmlformats.org/officeDocument/2006/relationships/hyperlink" Target="https://download.inep.gov.br/ideb/resultados/divulgacao_anos_iniciais_municipios_2025.zip" TargetMode="External"/><Relationship Id="rId512" Type="http://schemas.openxmlformats.org/officeDocument/2006/relationships/hyperlink" Target="https://apidatalake.tesouro.gov.br/ords/cdwhprd/siconfi/tt/rgf?an_exercicio=2021&amp;in_periodicidade=Q&amp;nr_periodo=3&amp;co_tipo_demonstrativo=RGF&amp;no_anexo=RGF-Anexo+01&amp;co_poder=E&amp;id_ente=2307304" TargetMode="External"/><Relationship Id="rId44" Type="http://schemas.openxmlformats.org/officeDocument/2006/relationships/hyperlink" Target="https://www.imf.org/external/datamapper/api/v2/GGXCNL_G01_GDP_PT/ARG?periods=2016,2017,2018,2019,2020,2021,2022,2023,2024,2025" TargetMode="External"/><Relationship Id="rId86" Type="http://schemas.openxmlformats.org/officeDocument/2006/relationships/hyperlink" Target="https://www.imf.org/external/datamapper/api/v2/PCPIPCH/ARG?periods=2016,2017,2018,2019,2020,2021,2022,2023,2024,2025" TargetMode="External"/><Relationship Id="rId151" Type="http://schemas.openxmlformats.org/officeDocument/2006/relationships/hyperlink" Target="https://download.inep.gov.br/ideb/resultados/divulgacao_anos_finais_municipios_2025.zip" TargetMode="External"/><Relationship Id="rId389" Type="http://schemas.openxmlformats.org/officeDocument/2006/relationships/hyperlink" Target="https://download.inep.gov.br/ideb/resultados/divulgacao_anos_iniciais_municipios_2025.zip" TargetMode="External"/><Relationship Id="rId554" Type="http://schemas.openxmlformats.org/officeDocument/2006/relationships/hyperlink" Target="https://apidatalake.tesouro.gov.br/ords/cdwhprd/siconfi/tt/dca?an_exercicio=2023&amp;id_ente=2307304&amp;no_anexo=DCA-Anexo+I-C" TargetMode="External"/><Relationship Id="rId193" Type="http://schemas.openxmlformats.org/officeDocument/2006/relationships/hyperlink" Target="https://download.inep.gov.br/ideb/resultados/divulgacao_anos_iniciais_municipios_2025.zip" TargetMode="External"/><Relationship Id="rId207" Type="http://schemas.openxmlformats.org/officeDocument/2006/relationships/hyperlink" Target="https://apidatalake.tesouro.gov.br/ords/cdwhprd/siconfi/tt/dca?an_exercicio=2018&amp;id_ente=2304400&amp;no_anexo=DCA-Anexo+I-C" TargetMode="External"/><Relationship Id="rId249" Type="http://schemas.openxmlformats.org/officeDocument/2006/relationships/hyperlink" Target="https://apidatalake.tesouro.gov.br/ords/cdwhprd/siconfi/tt/dca?an_exercicio=2020&amp;id_ente=2304400&amp;no_anexo=DCA-Anexo+I-D" TargetMode="External"/><Relationship Id="rId414" Type="http://schemas.openxmlformats.org/officeDocument/2006/relationships/hyperlink" Target="https://apidatalake.tesouro.gov.br/ords/cdwhprd/siconfi/tt/rgf?an_exercicio=2016&amp;in_periodicidade=Q&amp;nr_periodo=3&amp;co_tipo_demonstrativo=RGF&amp;no_anexo=RGF-Anexo+01&amp;co_poder=E&amp;id_ente=2307304" TargetMode="External"/><Relationship Id="rId456" Type="http://schemas.openxmlformats.org/officeDocument/2006/relationships/hyperlink" Target="https://apidatalake.tesouro.gov.br/ords/cdwhprd/siconfi/tt/dca?an_exercicio=2018&amp;id_ente=2307304&amp;no_anexo=DCA-Anexo+I-C" TargetMode="External"/><Relationship Id="rId498" Type="http://schemas.openxmlformats.org/officeDocument/2006/relationships/hyperlink" Target="https://apidatalake.tesouro.gov.br/ords/cdwhprd/siconfi/tt/dca?an_exercicio=2021&amp;id_ente=2307304&amp;no_anexo=DCA-Anexo+I-C" TargetMode="External"/><Relationship Id="rId13" Type="http://schemas.openxmlformats.org/officeDocument/2006/relationships/hyperlink" Target="https://contenidos.afip.gob.ar/institucional/estudios/archivos/serie2017.xls" TargetMode="External"/><Relationship Id="rId109" Type="http://schemas.openxmlformats.org/officeDocument/2006/relationships/hyperlink" Target="https://contenidos.afip.gob.ar/institucional/estudios/archivos/serie2025.xls" TargetMode="External"/><Relationship Id="rId260" Type="http://schemas.openxmlformats.org/officeDocument/2006/relationships/hyperlink" Target="https://apidatalake.tesouro.gov.br/ords/cdwhprd/siconfi/tt/dca?an_exercicio=2020&amp;id_ente=2304400&amp;no_anexo=DCA-Anexo+I-C" TargetMode="External"/><Relationship Id="rId316" Type="http://schemas.openxmlformats.org/officeDocument/2006/relationships/hyperlink" Target="https://apidatalake.tesouro.gov.br/ords/cdwhprd/siconfi/tt/rgf?an_exercicio=2023&amp;in_periodicidade=Q&amp;nr_periodo=3&amp;co_tipo_demonstrativo=RGF&amp;no_anexo=RGF-Anexo+01&amp;co_poder=E&amp;id_ente=2304400" TargetMode="External"/><Relationship Id="rId523" Type="http://schemas.openxmlformats.org/officeDocument/2006/relationships/hyperlink" Target="https://apidatalake.tesouro.gov.br/ords/cdwhprd/siconfi/tt/dca?an_exercicio=2022&amp;id_ente=2307304&amp;no_anexo=DCA-Anexo+I-D" TargetMode="External"/><Relationship Id="rId55" Type="http://schemas.openxmlformats.org/officeDocument/2006/relationships/hyperlink" Target="https://www.argentina.gob.ar/noticias/en-el-ano-2025-el-sector-publico-nacional-registro-un-superavit-financiero-de-1453819" TargetMode="External"/><Relationship Id="rId97" Type="http://schemas.openxmlformats.org/officeDocument/2006/relationships/hyperlink" Target="https://contenidos.afip.gob.ar/institucional/estudios/archivos/serie2024.xls" TargetMode="External"/><Relationship Id="rId120" Type="http://schemas.openxmlformats.org/officeDocument/2006/relationships/hyperlink" Target="https://www.argentina.gob.ar/noticias/en-el-ano-2025-el-sector-publico-nacional-registro-un-superavit-financiero-de-1453819" TargetMode="External"/><Relationship Id="rId358" Type="http://schemas.openxmlformats.org/officeDocument/2006/relationships/hyperlink" Target="https://download.inep.gov.br/ideb/resultados/divulgacao_anos_finais_municipios_2025.zip" TargetMode="External"/><Relationship Id="rId565" Type="http://schemas.openxmlformats.org/officeDocument/2006/relationships/hyperlink" Target="https://apidatalake.tesouro.gov.br/ords/cdwhprd/siconfi/tt/rgf?an_exercicio=2024&amp;in_periodicidade=Q&amp;nr_periodo=3&amp;co_tipo_demonstrativo=RGF&amp;no_anexo=RGF-Anexo+01&amp;co_poder=E&amp;id_ente=2307304" TargetMode="External"/><Relationship Id="rId162" Type="http://schemas.openxmlformats.org/officeDocument/2006/relationships/hyperlink" Target="https://download.inep.gov.br/ideb/resultados/divulgacao_anos_iniciais_municipios_2025.zip" TargetMode="External"/><Relationship Id="rId218" Type="http://schemas.openxmlformats.org/officeDocument/2006/relationships/hyperlink" Target="https://apidatalake.tesouro.gov.br/ords/cdwhprd/siconfi/tt/rgf?an_exercicio=2018&amp;in_periodicidade=Q&amp;nr_periodo=3&amp;co_tipo_demonstrativo=RGF&amp;no_anexo=RGF-Anexo+01&amp;co_poder=E&amp;id_ente=2304400" TargetMode="External"/><Relationship Id="rId425" Type="http://schemas.openxmlformats.org/officeDocument/2006/relationships/hyperlink" Target="https://apidatalake.tesouro.gov.br/ords/cdwhprd/siconfi/tt/dca?an_exercicio=2017&amp;id_ente=2307304&amp;no_anexo=DCA-Anexo+I-D" TargetMode="External"/><Relationship Id="rId467" Type="http://schemas.openxmlformats.org/officeDocument/2006/relationships/hyperlink" Target="https://download.inep.gov.br/ideb/resultados/divulgacao_anos_finais_municipios_2025.zip" TargetMode="External"/><Relationship Id="rId271" Type="http://schemas.openxmlformats.org/officeDocument/2006/relationships/hyperlink" Target="https://download.inep.gov.br/ideb/resultados/divulgacao_anos_iniciais_municipios_2025.zip" TargetMode="External"/><Relationship Id="rId24" Type="http://schemas.openxmlformats.org/officeDocument/2006/relationships/hyperlink" Target="https://www.argentina.gob.ar/noticias/en-el-ano-2025-el-sector-publico-nacional-registro-un-superavit-financiero-de-1453819" TargetMode="External"/><Relationship Id="rId66" Type="http://schemas.openxmlformats.org/officeDocument/2006/relationships/hyperlink" Target="https://www.imf.org/external/datamapper/api/v2/GGXWDG_NGDP/ARG?periods=2016,2017,2018,2019,2020,2021,2022,2023,2024,2025" TargetMode="External"/><Relationship Id="rId131" Type="http://schemas.openxmlformats.org/officeDocument/2006/relationships/hyperlink" Target="https://download.inep.gov.br/ideb/resultados/divulgacao_anos_finais_municipios_2025.zip" TargetMode="External"/><Relationship Id="rId327" Type="http://schemas.openxmlformats.org/officeDocument/2006/relationships/hyperlink" Target="https://apidatalake.tesouro.gov.br/ords/cdwhprd/siconfi/tt/rgf?an_exercicio=2024&amp;in_periodicidade=Q&amp;nr_periodo=3&amp;co_tipo_demonstrativo=RGF&amp;no_anexo=RGF-Anexo+01&amp;co_poder=E&amp;id_ente=2304400" TargetMode="External"/><Relationship Id="rId369" Type="http://schemas.openxmlformats.org/officeDocument/2006/relationships/hyperlink" Target="https://download.inep.gov.br/ideb/resultados/divulgacao_anos_iniciais_municipios_2025.zip" TargetMode="External"/><Relationship Id="rId534" Type="http://schemas.openxmlformats.org/officeDocument/2006/relationships/hyperlink" Target="https://apidatalake.tesouro.gov.br/ords/cdwhprd/siconfi/tt/dca?an_exercicio=2023&amp;id_ente=2307304&amp;no_anexo=DCA-Anexo+I-C" TargetMode="External"/><Relationship Id="rId576" Type="http://schemas.openxmlformats.org/officeDocument/2006/relationships/hyperlink" Target="https://apidatalake.tesouro.gov.br/ords/cdwhprd/siconfi/tt/rgf?an_exercicio=2025&amp;in_periodicidade=Q&amp;nr_periodo=3&amp;co_tipo_demonstrativo=RGF&amp;no_anexo=RGF-Anexo+01&amp;co_poder=E&amp;id_ente=2307304" TargetMode="External"/><Relationship Id="rId173" Type="http://schemas.openxmlformats.org/officeDocument/2006/relationships/hyperlink" Target="https://apidatalake.tesouro.gov.br/ords/cdwhprd/siconfi/tt/dca?an_exercicio=2016&amp;id_ente=2304400&amp;no_anexo=DCA-Anexo+I-D" TargetMode="External"/><Relationship Id="rId229" Type="http://schemas.openxmlformats.org/officeDocument/2006/relationships/hyperlink" Target="https://apidatalake.tesouro.gov.br/ords/cdwhprd/siconfi/tt/rgf?an_exercicio=2019&amp;in_periodicidade=Q&amp;nr_periodo=3&amp;co_tipo_demonstrativo=RGF&amp;no_anexo=RGF-Anexo+01&amp;co_poder=E&amp;id_ente=2304400" TargetMode="External"/><Relationship Id="rId380" Type="http://schemas.openxmlformats.org/officeDocument/2006/relationships/hyperlink" Target="https://download.inep.gov.br/ideb/resultados/divulgacao_anos_finais_municipios_2025.zip" TargetMode="External"/><Relationship Id="rId436" Type="http://schemas.openxmlformats.org/officeDocument/2006/relationships/hyperlink" Target="https://apidatalake.tesouro.gov.br/ords/cdwhprd/siconfi/tt/rgf?an_exercicio=2017&amp;in_periodicidade=Q&amp;nr_periodo=3&amp;co_tipo_demonstrativo=RGF&amp;no_anexo=RGF-Anexo+01&amp;co_poder=E&amp;id_ente=2307304" TargetMode="External"/><Relationship Id="rId240" Type="http://schemas.openxmlformats.org/officeDocument/2006/relationships/hyperlink" Target="https://apidatalake.tesouro.gov.br/ords/cdwhprd/siconfi/tt/rgf?an_exercicio=2019&amp;in_periodicidade=Q&amp;nr_periodo=3&amp;co_tipo_demonstrativo=RGF&amp;no_anexo=RGF-Anexo+01&amp;co_poder=E&amp;id_ente=2304400" TargetMode="External"/><Relationship Id="rId478" Type="http://schemas.openxmlformats.org/officeDocument/2006/relationships/hyperlink" Target="https://apidatalake.tesouro.gov.br/ords/cdwhprd/siconfi/tt/dca?an_exercicio=2019&amp;id_ente=2307304&amp;no_anexo=DCA-Anexo+I-C" TargetMode="External"/><Relationship Id="rId35" Type="http://schemas.openxmlformats.org/officeDocument/2006/relationships/hyperlink" Target="https://www.argentina.gob.ar/noticias/en-el-ano-2025-el-sector-publico-nacional-registro-un-superavit-financiero-de-1453819" TargetMode="External"/><Relationship Id="rId77" Type="http://schemas.openxmlformats.org/officeDocument/2006/relationships/hyperlink" Target="https://www.imf.org/external/datamapper/api/v2/exp/ARG?periods=2016,2017,2018,2019,2020,2021,2022,2023,2024,2025" TargetMode="External"/><Relationship Id="rId100" Type="http://schemas.openxmlformats.org/officeDocument/2006/relationships/hyperlink" Target="https://www.imf.org/external/datamapper/api/v2/NGDP_RPCH/ARG?periods=2016,2017,2018,2019,2020,2021,2022,2023,2024,2025" TargetMode="External"/><Relationship Id="rId282" Type="http://schemas.openxmlformats.org/officeDocument/2006/relationships/hyperlink" Target="https://apidatalake.tesouro.gov.br/ords/cdwhprd/siconfi/tt/dca?an_exercicio=2021&amp;id_ente=2304400&amp;no_anexo=DCA-Anexo+I-C" TargetMode="External"/><Relationship Id="rId338" Type="http://schemas.openxmlformats.org/officeDocument/2006/relationships/hyperlink" Target="https://apidatalake.tesouro.gov.br/ords/cdwhprd/siconfi/tt/dca?an_exercicio=2025&amp;id_ente=2304400&amp;no_anexo=DCA-Anexo+I-D" TargetMode="External"/><Relationship Id="rId503" Type="http://schemas.openxmlformats.org/officeDocument/2006/relationships/hyperlink" Target="https://download.inep.gov.br/ideb/resultados/divulgacao_anos_finais_municipios_2025.zip" TargetMode="External"/><Relationship Id="rId545" Type="http://schemas.openxmlformats.org/officeDocument/2006/relationships/hyperlink" Target="https://download.inep.gov.br/ideb/resultados/divulgacao_anos_finais_municipios_2025.zip" TargetMode="External"/><Relationship Id="rId587" Type="http://schemas.openxmlformats.org/officeDocument/2006/relationships/hyperlink" Target="https://apidatalake.tesouro.gov.br/docs/siconfi/" TargetMode="External"/><Relationship Id="rId8" Type="http://schemas.openxmlformats.org/officeDocument/2006/relationships/hyperlink" Target="https://www.imf.org/external/datamapper/api/v2/GGXCNL_G01_GDP_PT/ARG?periods=2016,2017,2018,2019,2020,2021,2022,2023,2024,2025" TargetMode="External"/><Relationship Id="rId142" Type="http://schemas.openxmlformats.org/officeDocument/2006/relationships/hyperlink" Target="https://download.inep.gov.br/ideb/resultados/divulgacao_anos_iniciais_municipios_2025.zip" TargetMode="External"/><Relationship Id="rId184" Type="http://schemas.openxmlformats.org/officeDocument/2006/relationships/hyperlink" Target="https://apidatalake.tesouro.gov.br/ords/cdwhprd/siconfi/tt/dca?an_exercicio=2016&amp;id_ente=2304400&amp;no_anexo=DCA-Anexo+I-C" TargetMode="External"/><Relationship Id="rId391" Type="http://schemas.openxmlformats.org/officeDocument/2006/relationships/hyperlink" Target="https://download.inep.gov.br/ideb/resultados/divulgacao_anos_iniciais_municipios_2025.zip" TargetMode="External"/><Relationship Id="rId405" Type="http://schemas.openxmlformats.org/officeDocument/2006/relationships/hyperlink" Target="https://apidatalake.tesouro.gov.br/ords/cdwhprd/siconfi/tt/rgf?an_exercicio=2016&amp;in_periodicidade=Q&amp;nr_periodo=3&amp;co_tipo_demonstrativo=RGF&amp;no_anexo=RGF-Anexo+01&amp;co_poder=E&amp;id_ente=2307304" TargetMode="External"/><Relationship Id="rId447" Type="http://schemas.openxmlformats.org/officeDocument/2006/relationships/hyperlink" Target="https://apidatalake.tesouro.gov.br/ords/cdwhprd/siconfi/tt/dca?an_exercicio=2018&amp;id_ente=2307304&amp;no_anexo=DCA-Anexo+I-D" TargetMode="External"/><Relationship Id="rId251" Type="http://schemas.openxmlformats.org/officeDocument/2006/relationships/hyperlink" Target="https://apidatalake.tesouro.gov.br/ords/cdwhprd/siconfi/tt/rgf?an_exercicio=2020&amp;in_periodicidade=Q&amp;nr_periodo=3&amp;co_tipo_demonstrativo=RGF&amp;no_anexo=RGF-Anexo+01&amp;co_poder=E&amp;id_ente=2304400" TargetMode="External"/><Relationship Id="rId489" Type="http://schemas.openxmlformats.org/officeDocument/2006/relationships/hyperlink" Target="https://apisidra.ibge.gov.br/values/t/6579/p/2016-2025/v/9324/n6/2307304" TargetMode="External"/><Relationship Id="rId46" Type="http://schemas.openxmlformats.org/officeDocument/2006/relationships/hyperlink" Target="https://www.argentina.gob.ar/sites/default/files/serie_ron_2003_2025.csv" TargetMode="External"/><Relationship Id="rId293" Type="http://schemas.openxmlformats.org/officeDocument/2006/relationships/hyperlink" Target="https://apidatalake.tesouro.gov.br/ords/cdwhprd/siconfi/tt/rgf?an_exercicio=2022&amp;in_periodicidade=Q&amp;nr_periodo=3&amp;co_tipo_demonstrativo=RGF&amp;no_anexo=RGF-Anexo+01&amp;co_poder=E&amp;id_ente=2304400" TargetMode="External"/><Relationship Id="rId307" Type="http://schemas.openxmlformats.org/officeDocument/2006/relationships/hyperlink" Target="https://download.inep.gov.br/ideb/resultados/divulgacao_anos_iniciais_municipios_2025.zip" TargetMode="External"/><Relationship Id="rId349" Type="http://schemas.openxmlformats.org/officeDocument/2006/relationships/hyperlink" Target="https://apidatalake.tesouro.gov.br/ords/cdwhprd/siconfi/tt/rgf?an_exercicio=2025&amp;in_periodicidade=Q&amp;nr_periodo=3&amp;co_tipo_demonstrativo=RGF&amp;no_anexo=RGF-Anexo+01&amp;co_poder=E&amp;id_ente=2304400" TargetMode="External"/><Relationship Id="rId514" Type="http://schemas.openxmlformats.org/officeDocument/2006/relationships/hyperlink" Target="https://apidatalake.tesouro.gov.br/ords/cdwhprd/siconfi/tt/dca?an_exercicio=2021&amp;id_ente=2307304&amp;no_anexo=DCA-Anexo+I-C" TargetMode="External"/><Relationship Id="rId556" Type="http://schemas.openxmlformats.org/officeDocument/2006/relationships/hyperlink" Target="https://apidatalake.tesouro.gov.br/ords/cdwhprd/siconfi/tt/dca?an_exercicio=2024&amp;id_ente=2307304&amp;no_anexo=DCA-Anexo+I-C" TargetMode="External"/><Relationship Id="rId88" Type="http://schemas.openxmlformats.org/officeDocument/2006/relationships/hyperlink" Target="https://www.imf.org/external/datamapper/api/v2/NGDP_RPCH/ARG?periods=2016,2017,2018,2019,2020,2021,2022,2023,2024,2025" TargetMode="External"/><Relationship Id="rId111" Type="http://schemas.openxmlformats.org/officeDocument/2006/relationships/hyperlink" Target="https://www.imf.org/external/datamapper/api/v2/NGDPD/ARG?periods=2016,2017,2018,2019,2020,2021,2022,2023,2024,2025" TargetMode="External"/><Relationship Id="rId153" Type="http://schemas.openxmlformats.org/officeDocument/2006/relationships/hyperlink" Target="https://download.inep.gov.br/ideb/resultados/divulgacao_anos_finais_municipios_2025.zip" TargetMode="External"/><Relationship Id="rId195" Type="http://schemas.openxmlformats.org/officeDocument/2006/relationships/hyperlink" Target="https://download.inep.gov.br/ideb/resultados/divulgacao_anos_iniciais_municipios_2025.zip" TargetMode="External"/><Relationship Id="rId209" Type="http://schemas.openxmlformats.org/officeDocument/2006/relationships/hyperlink" Target="https://apidatalake.tesouro.gov.br/ords/cdwhprd/siconfi/tt/dca?an_exercicio=2018&amp;id_ente=2304400&amp;no_anexo=DCA-Anexo+I-C" TargetMode="External"/><Relationship Id="rId360" Type="http://schemas.openxmlformats.org/officeDocument/2006/relationships/hyperlink" Target="https://download.inep.gov.br/ideb/resultados/divulgacao_anos_finais_municipios_2025.zip" TargetMode="External"/><Relationship Id="rId416" Type="http://schemas.openxmlformats.org/officeDocument/2006/relationships/hyperlink" Target="https://apidatalake.tesouro.gov.br/ords/cdwhprd/siconfi/tt/dca?an_exercicio=2016&amp;id_ente=2307304&amp;no_anexo=DCA-Anexo+I-C" TargetMode="External"/><Relationship Id="rId220" Type="http://schemas.openxmlformats.org/officeDocument/2006/relationships/hyperlink" Target="https://apidatalake.tesouro.gov.br/docs/siconfi/" TargetMode="External"/><Relationship Id="rId458" Type="http://schemas.openxmlformats.org/officeDocument/2006/relationships/hyperlink" Target="https://apidatalake.tesouro.gov.br/ords/cdwhprd/siconfi/tt/dca?an_exercicio=2019&amp;id_ente=2307304&amp;no_anexo=DCA-Anexo+I-C" TargetMode="External"/><Relationship Id="rId15" Type="http://schemas.openxmlformats.org/officeDocument/2006/relationships/hyperlink" Target="https://www.imf.org/external/datamapper/api/v2/NGDPD/ARG?periods=2016,2017,2018,2019,2020,2021,2022,2023,2024,2025" TargetMode="External"/><Relationship Id="rId57" Type="http://schemas.openxmlformats.org/officeDocument/2006/relationships/hyperlink" Target="https://www.imf.org/external/datamapper/api/v2/LP/ARG?periods=2016,2017,2018,2019,2020,2021,2022,2023,2024,2025" TargetMode="External"/><Relationship Id="rId262" Type="http://schemas.openxmlformats.org/officeDocument/2006/relationships/hyperlink" Target="https://apidatalake.tesouro.gov.br/ords/cdwhprd/siconfi/tt/rgf?an_exercicio=2021&amp;in_periodicidade=Q&amp;nr_periodo=3&amp;co_tipo_demonstrativo=RGF&amp;no_anexo=RGF-Anexo+01&amp;co_poder=E&amp;id_ente=2304400" TargetMode="External"/><Relationship Id="rId318" Type="http://schemas.openxmlformats.org/officeDocument/2006/relationships/hyperlink" Target="https://apidatalake.tesouro.gov.br/docs/siconfi/" TargetMode="External"/><Relationship Id="rId525" Type="http://schemas.openxmlformats.org/officeDocument/2006/relationships/hyperlink" Target="https://ftp.ibge.gov.br/Pib_Municipios/2022_2023/base/base_de_dados_2010_2023_xlsx.zip" TargetMode="External"/><Relationship Id="rId567" Type="http://schemas.openxmlformats.org/officeDocument/2006/relationships/hyperlink" Target="https://apidatalake.tesouro.gov.br/docs/siconfi/" TargetMode="External"/><Relationship Id="rId99" Type="http://schemas.openxmlformats.org/officeDocument/2006/relationships/hyperlink" Target="https://www.imf.org/external/datamapper/api/v2/NGDPD/ARG?periods=2016,2017,2018,2019,2020,2021,2022,2023,2024,2025" TargetMode="External"/><Relationship Id="rId122" Type="http://schemas.openxmlformats.org/officeDocument/2006/relationships/hyperlink" Target="https://download.inep.gov.br/ideb/resultados/divulgacao_anos_iniciais_municipios_2025.zip" TargetMode="External"/><Relationship Id="rId164" Type="http://schemas.openxmlformats.org/officeDocument/2006/relationships/hyperlink" Target="https://download.inep.gov.br/ideb/resultados/divulgacao_anos_iniciais_municipios_2025.zip" TargetMode="External"/><Relationship Id="rId371" Type="http://schemas.openxmlformats.org/officeDocument/2006/relationships/hyperlink" Target="https://download.inep.gov.br/ideb/resultados/divulgacao_anos_iniciais_municipios_2025.zip" TargetMode="External"/><Relationship Id="rId427" Type="http://schemas.openxmlformats.org/officeDocument/2006/relationships/hyperlink" Target="https://download.inep.gov.br/ideb/resultados/divulgacao_anos_finais_municipios_2025.zip" TargetMode="External"/><Relationship Id="rId469" Type="http://schemas.openxmlformats.org/officeDocument/2006/relationships/hyperlink" Target="https://download.inep.gov.br/ideb/resultados/divulgacao_anos_finais_municipios_2025.zip" TargetMode="External"/><Relationship Id="rId26" Type="http://schemas.openxmlformats.org/officeDocument/2006/relationships/hyperlink" Target="https://www.imf.org/external/datamapper/api/v2/PCPIPCH/ARG?periods=2016,2017,2018,2019,2020,2021,2022,2023,2024,2025" TargetMode="External"/><Relationship Id="rId231" Type="http://schemas.openxmlformats.org/officeDocument/2006/relationships/hyperlink" Target="https://download.inep.gov.br/ideb/resultados/divulgacao_anos_iniciais_municipios_2025.zip" TargetMode="External"/><Relationship Id="rId273" Type="http://schemas.openxmlformats.org/officeDocument/2006/relationships/hyperlink" Target="https://download.inep.gov.br/ideb/resultados/divulgacao_anos_iniciais_municipios_2025.zip" TargetMode="External"/><Relationship Id="rId329" Type="http://schemas.openxmlformats.org/officeDocument/2006/relationships/hyperlink" Target="https://apidatalake.tesouro.gov.br/ords/cdwhprd/siconfi/tt/rgf?an_exercicio=2024&amp;in_periodicidade=Q&amp;nr_periodo=3&amp;co_tipo_demonstrativo=RGF&amp;no_anexo=RGF-Anexo+01&amp;co_poder=E&amp;id_ente=2304400" TargetMode="External"/><Relationship Id="rId480" Type="http://schemas.openxmlformats.org/officeDocument/2006/relationships/hyperlink" Target="https://apidatalake.tesouro.gov.br/ords/cdwhprd/siconfi/tt/dca?an_exercicio=2020&amp;id_ente=2307304&amp;no_anexo=DCA-Anexo+I-C" TargetMode="External"/><Relationship Id="rId536" Type="http://schemas.openxmlformats.org/officeDocument/2006/relationships/hyperlink" Target="https://apidatalake.tesouro.gov.br/ords/cdwhprd/siconfi/tt/dca?an_exercicio=2023&amp;id_ente=2307304&amp;no_anexo=DCA-Anexo+I-C" TargetMode="External"/><Relationship Id="rId68" Type="http://schemas.openxmlformats.org/officeDocument/2006/relationships/hyperlink" Target="https://www.imf.org/external/datamapper/api/v2/GGXCNL_G01_GDP_PT/ARG?periods=2016,2017,2018,2019,2020,2021,2022,2023,2024,2025" TargetMode="External"/><Relationship Id="rId133" Type="http://schemas.openxmlformats.org/officeDocument/2006/relationships/hyperlink" Target="https://download.inep.gov.br/ideb/resultados/divulgacao_anos_finais_municipios_2025.zip" TargetMode="External"/><Relationship Id="rId175" Type="http://schemas.openxmlformats.org/officeDocument/2006/relationships/hyperlink" Target="https://apidatalake.tesouro.gov.br/ords/cdwhprd/siconfi/tt/rgf?an_exercicio=2016&amp;in_periodicidade=Q&amp;nr_periodo=3&amp;co_tipo_demonstrativo=RGF&amp;no_anexo=RGF-Anexo+01&amp;co_poder=E&amp;id_ente=2304400" TargetMode="External"/><Relationship Id="rId340" Type="http://schemas.openxmlformats.org/officeDocument/2006/relationships/hyperlink" Target="https://apidatalake.tesouro.gov.br/ords/cdwhprd/siconfi/tt/dca?an_exercicio=2025&amp;id_ente=2304400&amp;no_anexo=DCA-Anexo+I-D" TargetMode="External"/><Relationship Id="rId578" Type="http://schemas.openxmlformats.org/officeDocument/2006/relationships/hyperlink" Target="https://download.inep.gov.br/ideb/resultados/divulgacao_anos_iniciais_municipios_2025.zip" TargetMode="External"/><Relationship Id="rId200" Type="http://schemas.openxmlformats.org/officeDocument/2006/relationships/hyperlink" Target="https://apisidra.ibge.gov.br/values/t/6579/p/2016-2025/v/9324/n6/2304400" TargetMode="External"/><Relationship Id="rId382" Type="http://schemas.openxmlformats.org/officeDocument/2006/relationships/hyperlink" Target="https://ftp.ibge.gov.br/Pib_Municipios/2022_2023/base/base_de_dados_2010_2023_xlsx.zip" TargetMode="External"/><Relationship Id="rId438" Type="http://schemas.openxmlformats.org/officeDocument/2006/relationships/hyperlink" Target="https://apidatalake.tesouro.gov.br/ords/cdwhprd/siconfi/tt/dca?an_exercicio=2017&amp;id_ente=2307304&amp;no_anexo=DCA-Anexo+I-C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ownload.inep.gov.br/ideb/resultados/divulgacao_anos_iniciais_municipios_2025.zip" TargetMode="External"/><Relationship Id="rId13" Type="http://schemas.openxmlformats.org/officeDocument/2006/relationships/hyperlink" Target="https://download.inep.gov.br/ideb/resultados/divulgacao_anos_finais_municipios_2025.zip" TargetMode="External"/><Relationship Id="rId18" Type="http://schemas.openxmlformats.org/officeDocument/2006/relationships/hyperlink" Target="https://download.inep.gov.br/ideb/resultados/divulgacao_anos_iniciais_municipios_2025.zip" TargetMode="External"/><Relationship Id="rId26" Type="http://schemas.openxmlformats.org/officeDocument/2006/relationships/hyperlink" Target="https://download.inep.gov.br/ideb/resultados/divulgacao_anos_iniciais_municipios_2025.zip" TargetMode="External"/><Relationship Id="rId39" Type="http://schemas.openxmlformats.org/officeDocument/2006/relationships/hyperlink" Target="https://download.inep.gov.br/ideb/resultados/divulgacao_anos_finais_municipios_2025.zip" TargetMode="External"/><Relationship Id="rId3" Type="http://schemas.openxmlformats.org/officeDocument/2006/relationships/hyperlink" Target="https://download.inep.gov.br/ideb/resultados/divulgacao_anos_finais_municipios_2025.zip" TargetMode="External"/><Relationship Id="rId21" Type="http://schemas.openxmlformats.org/officeDocument/2006/relationships/hyperlink" Target="https://download.inep.gov.br/ideb/resultados/divulgacao_anos_finais_municipios_2025.zip" TargetMode="External"/><Relationship Id="rId34" Type="http://schemas.openxmlformats.org/officeDocument/2006/relationships/hyperlink" Target="https://download.inep.gov.br/ideb/resultados/divulgacao_anos_iniciais_municipios_2025.zip" TargetMode="External"/><Relationship Id="rId42" Type="http://schemas.openxmlformats.org/officeDocument/2006/relationships/hyperlink" Target="https://download.inep.gov.br/ideb/resultados/divulgacao_anos_iniciais_municipios_2025.zip" TargetMode="External"/><Relationship Id="rId7" Type="http://schemas.openxmlformats.org/officeDocument/2006/relationships/hyperlink" Target="https://download.inep.gov.br/ideb/resultados/divulgacao_anos_finais_municipios_2025.zip" TargetMode="External"/><Relationship Id="rId12" Type="http://schemas.openxmlformats.org/officeDocument/2006/relationships/hyperlink" Target="https://download.inep.gov.br/ideb/resultados/divulgacao_anos_iniciais_municipios_2025.zip" TargetMode="External"/><Relationship Id="rId17" Type="http://schemas.openxmlformats.org/officeDocument/2006/relationships/hyperlink" Target="https://download.inep.gov.br/ideb/resultados/divulgacao_anos_finais_municipios_2025.zip" TargetMode="External"/><Relationship Id="rId25" Type="http://schemas.openxmlformats.org/officeDocument/2006/relationships/hyperlink" Target="https://download.inep.gov.br/ideb/resultados/divulgacao_anos_finais_municipios_2025.zip" TargetMode="External"/><Relationship Id="rId33" Type="http://schemas.openxmlformats.org/officeDocument/2006/relationships/hyperlink" Target="https://download.inep.gov.br/ideb/resultados/divulgacao_anos_finais_municipios_2025.zip" TargetMode="External"/><Relationship Id="rId38" Type="http://schemas.openxmlformats.org/officeDocument/2006/relationships/hyperlink" Target="https://download.inep.gov.br/ideb/resultados/divulgacao_anos_iniciais_municipios_2025.zip" TargetMode="External"/><Relationship Id="rId2" Type="http://schemas.openxmlformats.org/officeDocument/2006/relationships/hyperlink" Target="https://download.inep.gov.br/ideb/resultados/divulgacao_anos_iniciais_municipios_2025.zip" TargetMode="External"/><Relationship Id="rId16" Type="http://schemas.openxmlformats.org/officeDocument/2006/relationships/hyperlink" Target="https://download.inep.gov.br/ideb/resultados/divulgacao_anos_iniciais_municipios_2025.zip" TargetMode="External"/><Relationship Id="rId20" Type="http://schemas.openxmlformats.org/officeDocument/2006/relationships/hyperlink" Target="https://download.inep.gov.br/ideb/resultados/divulgacao_anos_iniciais_municipios_2025.zip" TargetMode="External"/><Relationship Id="rId29" Type="http://schemas.openxmlformats.org/officeDocument/2006/relationships/hyperlink" Target="https://download.inep.gov.br/ideb/resultados/divulgacao_anos_finais_municipios_2025.zip" TargetMode="External"/><Relationship Id="rId41" Type="http://schemas.openxmlformats.org/officeDocument/2006/relationships/hyperlink" Target="https://download.inep.gov.br/ideb/resultados/divulgacao_anos_finais_municipios_2025.zip" TargetMode="External"/><Relationship Id="rId1" Type="http://schemas.openxmlformats.org/officeDocument/2006/relationships/hyperlink" Target="https://download.inep.gov.br/ideb/resultados/divulgacao_anos_finais_municipios_2025.zip" TargetMode="External"/><Relationship Id="rId6" Type="http://schemas.openxmlformats.org/officeDocument/2006/relationships/hyperlink" Target="https://download.inep.gov.br/ideb/resultados/divulgacao_anos_iniciais_municipios_2025.zip" TargetMode="External"/><Relationship Id="rId11" Type="http://schemas.openxmlformats.org/officeDocument/2006/relationships/hyperlink" Target="https://download.inep.gov.br/ideb/resultados/divulgacao_anos_finais_municipios_2025.zip" TargetMode="External"/><Relationship Id="rId24" Type="http://schemas.openxmlformats.org/officeDocument/2006/relationships/hyperlink" Target="https://download.inep.gov.br/ideb/resultados/divulgacao_anos_iniciais_municipios_2025.zip" TargetMode="External"/><Relationship Id="rId32" Type="http://schemas.openxmlformats.org/officeDocument/2006/relationships/hyperlink" Target="https://download.inep.gov.br/ideb/resultados/divulgacao_anos_iniciais_municipios_2025.zip" TargetMode="External"/><Relationship Id="rId37" Type="http://schemas.openxmlformats.org/officeDocument/2006/relationships/hyperlink" Target="https://download.inep.gov.br/ideb/resultados/divulgacao_anos_finais_municipios_2025.zip" TargetMode="External"/><Relationship Id="rId40" Type="http://schemas.openxmlformats.org/officeDocument/2006/relationships/hyperlink" Target="https://download.inep.gov.br/ideb/resultados/divulgacao_anos_iniciais_municipios_2025.zip" TargetMode="External"/><Relationship Id="rId5" Type="http://schemas.openxmlformats.org/officeDocument/2006/relationships/hyperlink" Target="https://download.inep.gov.br/ideb/resultados/divulgacao_anos_finais_municipios_2025.zip" TargetMode="External"/><Relationship Id="rId15" Type="http://schemas.openxmlformats.org/officeDocument/2006/relationships/hyperlink" Target="https://download.inep.gov.br/ideb/resultados/divulgacao_anos_finais_municipios_2025.zip" TargetMode="External"/><Relationship Id="rId23" Type="http://schemas.openxmlformats.org/officeDocument/2006/relationships/hyperlink" Target="https://download.inep.gov.br/ideb/resultados/divulgacao_anos_finais_municipios_2025.zip" TargetMode="External"/><Relationship Id="rId28" Type="http://schemas.openxmlformats.org/officeDocument/2006/relationships/hyperlink" Target="https://download.inep.gov.br/ideb/resultados/divulgacao_anos_iniciais_municipios_2025.zip" TargetMode="External"/><Relationship Id="rId36" Type="http://schemas.openxmlformats.org/officeDocument/2006/relationships/hyperlink" Target="https://download.inep.gov.br/ideb/resultados/divulgacao_anos_iniciais_municipios_2025.zip" TargetMode="External"/><Relationship Id="rId10" Type="http://schemas.openxmlformats.org/officeDocument/2006/relationships/hyperlink" Target="https://download.inep.gov.br/ideb/resultados/divulgacao_anos_iniciais_municipios_2025.zip" TargetMode="External"/><Relationship Id="rId19" Type="http://schemas.openxmlformats.org/officeDocument/2006/relationships/hyperlink" Target="https://download.inep.gov.br/ideb/resultados/divulgacao_anos_finais_municipios_2025.zip" TargetMode="External"/><Relationship Id="rId31" Type="http://schemas.openxmlformats.org/officeDocument/2006/relationships/hyperlink" Target="https://download.inep.gov.br/ideb/resultados/divulgacao_anos_finais_municipios_2025.zip" TargetMode="External"/><Relationship Id="rId44" Type="http://schemas.openxmlformats.org/officeDocument/2006/relationships/hyperlink" Target="https://download.inep.gov.br/ideb/resultados/divulgacao_anos_iniciais_municipios_2025.zip" TargetMode="External"/><Relationship Id="rId4" Type="http://schemas.openxmlformats.org/officeDocument/2006/relationships/hyperlink" Target="https://download.inep.gov.br/ideb/resultados/divulgacao_anos_iniciais_municipios_2025.zip" TargetMode="External"/><Relationship Id="rId9" Type="http://schemas.openxmlformats.org/officeDocument/2006/relationships/hyperlink" Target="https://download.inep.gov.br/ideb/resultados/divulgacao_anos_finais_municipios_2025.zip" TargetMode="External"/><Relationship Id="rId14" Type="http://schemas.openxmlformats.org/officeDocument/2006/relationships/hyperlink" Target="https://download.inep.gov.br/ideb/resultados/divulgacao_anos_iniciais_municipios_2025.zip" TargetMode="External"/><Relationship Id="rId22" Type="http://schemas.openxmlformats.org/officeDocument/2006/relationships/hyperlink" Target="https://download.inep.gov.br/ideb/resultados/divulgacao_anos_iniciais_municipios_2025.zip" TargetMode="External"/><Relationship Id="rId27" Type="http://schemas.openxmlformats.org/officeDocument/2006/relationships/hyperlink" Target="https://download.inep.gov.br/ideb/resultados/divulgacao_anos_finais_municipios_2025.zip" TargetMode="External"/><Relationship Id="rId30" Type="http://schemas.openxmlformats.org/officeDocument/2006/relationships/hyperlink" Target="https://download.inep.gov.br/ideb/resultados/divulgacao_anos_iniciais_municipios_2025.zip" TargetMode="External"/><Relationship Id="rId35" Type="http://schemas.openxmlformats.org/officeDocument/2006/relationships/hyperlink" Target="https://download.inep.gov.br/ideb/resultados/divulgacao_anos_finais_municipios_2025.zip" TargetMode="External"/><Relationship Id="rId43" Type="http://schemas.openxmlformats.org/officeDocument/2006/relationships/hyperlink" Target="https://download.inep.gov.br/ideb/resultados/divulgacao_anos_finais_municipios_2025.zip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bge.gov.br/cidades-e-estados/ce/juazeiro-do-norte.html" TargetMode="External"/><Relationship Id="rId2" Type="http://schemas.openxmlformats.org/officeDocument/2006/relationships/hyperlink" Target="https://www.ibge.gov.br/cidades-e-estados/ce/fortaleza.html" TargetMode="External"/><Relationship Id="rId1" Type="http://schemas.openxmlformats.org/officeDocument/2006/relationships/hyperlink" Target="https://www.ibge.gov.br/cidades-e-estados/ce/fortaleza.html" TargetMode="External"/><Relationship Id="rId4" Type="http://schemas.openxmlformats.org/officeDocument/2006/relationships/hyperlink" Target="https://www.ibge.gov.br/cidades-e-estados/ce/juazeiro-do-norte.htm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apidatalake.tesouro.gov.br/docs/siconfi/" TargetMode="External"/><Relationship Id="rId13" Type="http://schemas.openxmlformats.org/officeDocument/2006/relationships/hyperlink" Target="https://www.gov.br/inep/pt-br/areas-de-atuacao/pesquisas-estatisticas-e-indicadores/ideb/resultados" TargetMode="External"/><Relationship Id="rId18" Type="http://schemas.openxmlformats.org/officeDocument/2006/relationships/hyperlink" Target="https://www.imf.org/external/datamapper/api/v2/GGXCNL_G01_GDP_PT/ARG?periods=2016,2017,2018,2019,2020,2021,2022,2023,2024,2025" TargetMode="External"/><Relationship Id="rId3" Type="http://schemas.openxmlformats.org/officeDocument/2006/relationships/hyperlink" Target="https://apidatalake.tesouro.gov.br/docs/siconfi/" TargetMode="External"/><Relationship Id="rId21" Type="http://schemas.openxmlformats.org/officeDocument/2006/relationships/hyperlink" Target="https://www.imf.org/external/datamapper/api/v2/PCPIPCH/ARG?periods=2016,2017,2018,2019,2020,2021,2022,2023,2024,2025" TargetMode="External"/><Relationship Id="rId7" Type="http://schemas.openxmlformats.org/officeDocument/2006/relationships/hyperlink" Target="https://apidatalake.tesouro.gov.br/docs/siconfi/" TargetMode="External"/><Relationship Id="rId12" Type="http://schemas.openxmlformats.org/officeDocument/2006/relationships/hyperlink" Target="https://servicodados.ibge.gov.br/api/v3/agregados/1737/metadados" TargetMode="External"/><Relationship Id="rId17" Type="http://schemas.openxmlformats.org/officeDocument/2006/relationships/hyperlink" Target="https://www.imf.org/external/datamapper/api/v2/NGDPD/ARG?periods=2016,2017,2018,2019,2020,2021,2022,2023,2024,2025" TargetMode="External"/><Relationship Id="rId2" Type="http://schemas.openxmlformats.org/officeDocument/2006/relationships/hyperlink" Target="https://apidatalake.tesouro.gov.br/docs/siconfi/" TargetMode="External"/><Relationship Id="rId16" Type="http://schemas.openxmlformats.org/officeDocument/2006/relationships/hyperlink" Target="https://www.imf.org/external/datamapper/api/v2/NGDP_RPCH/ARG?periods=2016,2017,2018,2019,2020,2021,2022,2023,2024,2025" TargetMode="External"/><Relationship Id="rId20" Type="http://schemas.openxmlformats.org/officeDocument/2006/relationships/hyperlink" Target="https://www.imf.org/external/datamapper/api/v2/exp/ARG?periods=2016,2017,2018,2019,2020,2021,2022,2023,2024,2025" TargetMode="External"/><Relationship Id="rId1" Type="http://schemas.openxmlformats.org/officeDocument/2006/relationships/hyperlink" Target="https://apidatalake.tesouro.gov.br/docs/siconfi/" TargetMode="External"/><Relationship Id="rId6" Type="http://schemas.openxmlformats.org/officeDocument/2006/relationships/hyperlink" Target="https://apidatalake.tesouro.gov.br/docs/siconfi/" TargetMode="External"/><Relationship Id="rId11" Type="http://schemas.openxmlformats.org/officeDocument/2006/relationships/hyperlink" Target="https://ftp.ibge.gov.br/Pib_Municipios/2022_2023/base/base_de_dados_2010_2023_xlsx.zip" TargetMode="External"/><Relationship Id="rId24" Type="http://schemas.openxmlformats.org/officeDocument/2006/relationships/hyperlink" Target="https://apidatalake.tesouro.gov.br/docs/siconfi/" TargetMode="External"/><Relationship Id="rId5" Type="http://schemas.openxmlformats.org/officeDocument/2006/relationships/hyperlink" Target="https://apidatalake.tesouro.gov.br/docs/siconfi/" TargetMode="External"/><Relationship Id="rId15" Type="http://schemas.openxmlformats.org/officeDocument/2006/relationships/hyperlink" Target="https://www.argentina.gob.ar/economia/sechacienda/asuntosprovinciales/ron" TargetMode="External"/><Relationship Id="rId23" Type="http://schemas.openxmlformats.org/officeDocument/2006/relationships/hyperlink" Target="https://www.argentina.gob.ar/noticias/en-el-ano-2025-el-sector-publico-nacional-registro-un-superavit-financiero-de-1453819" TargetMode="External"/><Relationship Id="rId10" Type="http://schemas.openxmlformats.org/officeDocument/2006/relationships/hyperlink" Target="https://ftp.ibge.gov.br/Pib_Municipios/2022_2023/base/base_de_dados_2010_2023_xlsx.zip" TargetMode="External"/><Relationship Id="rId19" Type="http://schemas.openxmlformats.org/officeDocument/2006/relationships/hyperlink" Target="https://www.imf.org/external/datamapper/api/v2/GGXWDG_NGDP/ARG?periods=2016,2017,2018,2019,2020,2021,2022,2023,2024,2025" TargetMode="External"/><Relationship Id="rId4" Type="http://schemas.openxmlformats.org/officeDocument/2006/relationships/hyperlink" Target="https://apidatalake.tesouro.gov.br/docs/siconfi/" TargetMode="External"/><Relationship Id="rId9" Type="http://schemas.openxmlformats.org/officeDocument/2006/relationships/hyperlink" Target="https://apisidra.ibge.gov.br/values/t/6579/p/2016-2025/v/9324/n6/2304400" TargetMode="External"/><Relationship Id="rId14" Type="http://schemas.openxmlformats.org/officeDocument/2006/relationships/hyperlink" Target="https://www.arca.gob.ar/institucional/estudios/serie-anual/" TargetMode="External"/><Relationship Id="rId22" Type="http://schemas.openxmlformats.org/officeDocument/2006/relationships/hyperlink" Target="https://www.imf.org/external/datamapper/api/v2/LP/ARG?periods=2016,2017,2018,2019,2020,2021,2022,2023,2024,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topLeftCell="B1" zoomScaleNormal="100" workbookViewId="0">
      <pane ySplit="1" topLeftCell="A2" activePane="bottomLeft" state="frozen"/>
      <selection activeCell="B1" sqref="B1"/>
      <selection pane="bottomLeft" activeCell="C9" sqref="C9"/>
    </sheetView>
  </sheetViews>
  <sheetFormatPr defaultColWidth="12.5703125" defaultRowHeight="12.75"/>
  <cols>
    <col min="1" max="1" width="42" customWidth="1"/>
    <col min="2" max="2" width="23" customWidth="1"/>
    <col min="3" max="3" width="42" customWidth="1"/>
    <col min="4" max="4" width="18" customWidth="1"/>
    <col min="5" max="5" width="19" customWidth="1"/>
    <col min="6" max="6" width="22" customWidth="1"/>
    <col min="7" max="7" width="13" customWidth="1"/>
    <col min="8" max="8" width="17" customWidth="1"/>
    <col min="9" max="9" width="16" customWidth="1"/>
    <col min="10" max="10" width="12" customWidth="1"/>
  </cols>
  <sheetData>
    <row r="1" spans="1:10" ht="33.75" customHeight="1">
      <c r="A1" s="2" t="s">
        <v>0</v>
      </c>
      <c r="B1" s="2"/>
      <c r="C1" s="2"/>
      <c r="D1" s="2"/>
      <c r="E1" s="2"/>
      <c r="F1" s="2"/>
      <c r="G1" s="2"/>
      <c r="H1" s="3"/>
      <c r="I1" s="3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/>
      <c r="I2" s="4"/>
      <c r="J2" s="4"/>
    </row>
    <row r="3" spans="1:10">
      <c r="A3" s="4">
        <v>2014</v>
      </c>
      <c r="B3" s="5">
        <v>0.442</v>
      </c>
      <c r="C3" s="5">
        <v>-4.2500000000000003E-2</v>
      </c>
      <c r="D3" s="5">
        <v>0.38500000000000001</v>
      </c>
      <c r="E3" s="5">
        <v>-2.5000000000000001E-2</v>
      </c>
      <c r="F3" s="6">
        <v>0.44</v>
      </c>
      <c r="G3" s="4" t="s">
        <v>8</v>
      </c>
      <c r="H3" s="4"/>
      <c r="I3" s="4"/>
      <c r="J3" s="4"/>
    </row>
    <row r="4" spans="1:10">
      <c r="A4" s="4">
        <v>2015</v>
      </c>
      <c r="B4" s="5">
        <v>0.47399999999999998</v>
      </c>
      <c r="C4" s="5">
        <v>-0.06</v>
      </c>
      <c r="D4" s="5">
        <v>0.26900000000000002</v>
      </c>
      <c r="E4" s="5">
        <v>2.7E-2</v>
      </c>
      <c r="F4" s="6">
        <v>0.52</v>
      </c>
      <c r="G4" s="4" t="s">
        <v>9</v>
      </c>
      <c r="H4" s="4"/>
      <c r="I4" s="4"/>
      <c r="J4" s="4"/>
    </row>
    <row r="5" spans="1:10">
      <c r="A5" s="4">
        <v>2016</v>
      </c>
      <c r="B5" s="5">
        <v>0.42399999999999999</v>
      </c>
      <c r="C5" s="5">
        <v>-6.6600000000000006E-2</v>
      </c>
      <c r="D5" s="5">
        <v>0.41</v>
      </c>
      <c r="E5" s="5">
        <v>-2.1000000000000001E-2</v>
      </c>
      <c r="F5" s="6">
        <v>0.54</v>
      </c>
      <c r="G5" s="4" t="s">
        <v>10</v>
      </c>
      <c r="H5" s="4"/>
      <c r="I5" s="4"/>
      <c r="J5" s="4"/>
    </row>
    <row r="6" spans="1:10">
      <c r="A6" s="4">
        <v>2017</v>
      </c>
      <c r="B6" s="5">
        <v>0.41799999999999998</v>
      </c>
      <c r="C6" s="5">
        <v>-6.6900000000000001E-2</v>
      </c>
      <c r="D6" s="5">
        <v>0.25700000000000001</v>
      </c>
      <c r="E6" s="5">
        <v>2.9000000000000001E-2</v>
      </c>
      <c r="F6" s="6">
        <v>0.56999999999999995</v>
      </c>
      <c r="G6" s="4" t="s">
        <v>10</v>
      </c>
      <c r="H6" s="4"/>
      <c r="I6" s="4"/>
      <c r="J6" s="4"/>
    </row>
    <row r="7" spans="1:10">
      <c r="A7" s="4">
        <v>2018</v>
      </c>
      <c r="B7" s="5">
        <v>0.40300000000000002</v>
      </c>
      <c r="C7" s="5">
        <v>-5.4399999999999997E-2</v>
      </c>
      <c r="D7" s="5">
        <v>0.47599999999999998</v>
      </c>
      <c r="E7" s="5">
        <v>-2.5999999999999999E-2</v>
      </c>
      <c r="F7" s="6">
        <v>0.86</v>
      </c>
      <c r="G7" s="4" t="s">
        <v>10</v>
      </c>
      <c r="H7" s="4"/>
      <c r="I7" s="4"/>
      <c r="J7" s="4"/>
    </row>
    <row r="8" spans="1:10">
      <c r="A8" s="4">
        <v>2019</v>
      </c>
      <c r="B8" s="5">
        <v>0.436</v>
      </c>
      <c r="C8" s="5">
        <v>-4.3999999999999997E-2</v>
      </c>
      <c r="D8" s="5">
        <v>0.53800000000000003</v>
      </c>
      <c r="E8" s="5">
        <v>-2.1000000000000001E-2</v>
      </c>
      <c r="F8" s="6">
        <v>0.9</v>
      </c>
      <c r="G8" s="4" t="s">
        <v>11</v>
      </c>
      <c r="H8" s="4"/>
      <c r="I8" s="4"/>
      <c r="J8" s="4"/>
    </row>
    <row r="9" spans="1:10">
      <c r="A9" s="4">
        <v>2020</v>
      </c>
      <c r="B9" s="5">
        <v>0.495</v>
      </c>
      <c r="C9" s="5">
        <v>-8.6300000000000002E-2</v>
      </c>
      <c r="D9" s="5">
        <v>0.36099999999999999</v>
      </c>
      <c r="E9" s="5">
        <v>-9.9000000000000005E-2</v>
      </c>
      <c r="F9" s="6">
        <v>1.03</v>
      </c>
      <c r="G9" s="4" t="s">
        <v>12</v>
      </c>
      <c r="H9" s="4"/>
      <c r="I9" s="4"/>
      <c r="J9" s="4"/>
    </row>
    <row r="10" spans="1:10">
      <c r="A10" s="4">
        <v>2021</v>
      </c>
      <c r="B10" s="5">
        <v>0.46700000000000003</v>
      </c>
      <c r="C10" s="5">
        <v>-4.58E-2</v>
      </c>
      <c r="D10" s="5">
        <v>0.50900000000000001</v>
      </c>
      <c r="E10" s="5">
        <v>0.104</v>
      </c>
      <c r="F10" s="6">
        <v>0.8</v>
      </c>
      <c r="G10" s="4" t="s">
        <v>12</v>
      </c>
      <c r="H10" s="4"/>
      <c r="I10" s="4"/>
      <c r="J10" s="4"/>
    </row>
    <row r="11" spans="1:10">
      <c r="A11" s="4">
        <v>2022</v>
      </c>
      <c r="B11" s="5">
        <v>0.45</v>
      </c>
      <c r="C11" s="5">
        <v>-3.8399999999999997E-2</v>
      </c>
      <c r="D11" s="5">
        <v>0.94799999999999995</v>
      </c>
      <c r="E11" s="5">
        <v>0.05</v>
      </c>
      <c r="F11" s="6">
        <v>0.77</v>
      </c>
      <c r="G11" s="4" t="s">
        <v>12</v>
      </c>
      <c r="H11" s="4"/>
      <c r="I11" s="4"/>
      <c r="J11" s="4"/>
    </row>
    <row r="12" spans="1:10">
      <c r="A12" s="4">
        <v>2023</v>
      </c>
      <c r="B12" s="5">
        <v>0.41899999999999998</v>
      </c>
      <c r="C12" s="5">
        <v>-2.9000000000000001E-2</v>
      </c>
      <c r="D12" s="5">
        <v>2.1139999999999999</v>
      </c>
      <c r="E12" s="5">
        <v>-1.6E-2</v>
      </c>
      <c r="F12" s="6">
        <v>0.88</v>
      </c>
      <c r="G12" s="4" t="s">
        <v>13</v>
      </c>
      <c r="H12" s="4"/>
      <c r="I12" s="4"/>
      <c r="J12" s="4"/>
    </row>
    <row r="13" spans="1:10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15.75" customHeight="1">
      <c r="A14" s="1" t="s">
        <v>14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4" t="s">
        <v>1</v>
      </c>
      <c r="B15" s="4" t="s">
        <v>15</v>
      </c>
      <c r="C15" s="4" t="s">
        <v>16</v>
      </c>
      <c r="D15" s="4" t="s">
        <v>17</v>
      </c>
      <c r="E15" s="4" t="s">
        <v>18</v>
      </c>
      <c r="F15" s="4" t="s">
        <v>19</v>
      </c>
      <c r="G15" s="4" t="s">
        <v>20</v>
      </c>
      <c r="H15" s="4" t="s">
        <v>21</v>
      </c>
      <c r="I15" s="4" t="s">
        <v>22</v>
      </c>
      <c r="J15" s="4" t="s">
        <v>23</v>
      </c>
    </row>
    <row r="16" spans="1:10">
      <c r="A16" s="4">
        <v>2014</v>
      </c>
      <c r="B16" s="4" t="s">
        <v>24</v>
      </c>
      <c r="C16" s="7">
        <v>1853</v>
      </c>
      <c r="D16" s="8" t="s">
        <v>25</v>
      </c>
      <c r="E16" s="4">
        <f t="shared" ref="E16:E25" si="0">B3*C3</f>
        <v>-1.8785000000000003E-2</v>
      </c>
      <c r="F16" s="9">
        <v>1.75</v>
      </c>
      <c r="G16" s="9">
        <v>3.8</v>
      </c>
      <c r="H16" s="4" t="s">
        <v>26</v>
      </c>
      <c r="I16" s="4">
        <f t="shared" ref="I16:I25" si="1">(F16/G16)*100</f>
        <v>46.05263157894737</v>
      </c>
      <c r="J16" s="4" t="s">
        <v>27</v>
      </c>
    </row>
    <row r="17" spans="1:10">
      <c r="A17" s="4">
        <v>2015</v>
      </c>
      <c r="B17" s="8" t="s">
        <v>28</v>
      </c>
      <c r="C17" s="7">
        <v>1729</v>
      </c>
      <c r="D17" s="4" t="s">
        <v>29</v>
      </c>
      <c r="E17" s="4">
        <f t="shared" si="0"/>
        <v>-2.8439999999999997E-2</v>
      </c>
      <c r="F17" s="9">
        <v>1.94</v>
      </c>
      <c r="G17" s="9">
        <v>4.04</v>
      </c>
      <c r="H17" s="4" t="s">
        <v>30</v>
      </c>
      <c r="I17" s="4">
        <f t="shared" si="1"/>
        <v>48.019801980198018</v>
      </c>
      <c r="J17" s="4" t="s">
        <v>27</v>
      </c>
    </row>
    <row r="18" spans="1:10">
      <c r="A18" s="4">
        <v>2016</v>
      </c>
      <c r="B18" s="4" t="s">
        <v>31</v>
      </c>
      <c r="C18" s="7">
        <v>1620</v>
      </c>
      <c r="D18" s="4" t="s">
        <v>32</v>
      </c>
      <c r="E18" s="4">
        <f t="shared" si="0"/>
        <v>-2.82384E-2</v>
      </c>
      <c r="F18" s="9">
        <v>2.0099999999999998</v>
      </c>
      <c r="G18" s="9">
        <v>4.2699999999999996</v>
      </c>
      <c r="H18" s="4" t="s">
        <v>33</v>
      </c>
      <c r="I18" s="4">
        <f t="shared" si="1"/>
        <v>47.072599531615928</v>
      </c>
      <c r="J18" s="4" t="s">
        <v>27</v>
      </c>
    </row>
    <row r="19" spans="1:10">
      <c r="A19" s="4">
        <v>2017</v>
      </c>
      <c r="B19" s="4" t="s">
        <v>34</v>
      </c>
      <c r="C19" s="7">
        <v>1549</v>
      </c>
      <c r="D19" s="4" t="s">
        <v>35</v>
      </c>
      <c r="E19" s="4">
        <f t="shared" si="0"/>
        <v>-2.7964199999999998E-2</v>
      </c>
      <c r="F19" s="9">
        <v>2.16</v>
      </c>
      <c r="G19" s="9">
        <v>4.6900000000000004</v>
      </c>
      <c r="H19" s="4" t="s">
        <v>26</v>
      </c>
      <c r="I19" s="4">
        <f t="shared" si="1"/>
        <v>46.055437100213219</v>
      </c>
      <c r="J19" s="4" t="s">
        <v>27</v>
      </c>
    </row>
    <row r="20" spans="1:10">
      <c r="A20" s="4">
        <v>2018</v>
      </c>
      <c r="B20" s="10" t="s">
        <v>36</v>
      </c>
      <c r="C20" s="7">
        <v>1481</v>
      </c>
      <c r="D20" s="4" t="s">
        <v>37</v>
      </c>
      <c r="E20" s="4">
        <f t="shared" si="0"/>
        <v>-2.19232E-2</v>
      </c>
      <c r="F20" s="9">
        <v>2.44</v>
      </c>
      <c r="G20" s="9">
        <v>5.09</v>
      </c>
      <c r="H20" s="4" t="s">
        <v>38</v>
      </c>
      <c r="I20" s="4">
        <f t="shared" si="1"/>
        <v>47.937131630648331</v>
      </c>
      <c r="J20" s="4" t="s">
        <v>27</v>
      </c>
    </row>
    <row r="21" spans="1:10">
      <c r="A21" s="4">
        <v>2019</v>
      </c>
      <c r="B21" s="4" t="s">
        <v>39</v>
      </c>
      <c r="C21" s="7">
        <v>1409</v>
      </c>
      <c r="D21" s="4" t="s">
        <v>40</v>
      </c>
      <c r="E21" s="4">
        <f t="shared" si="0"/>
        <v>-1.9184E-2</v>
      </c>
      <c r="F21" s="9">
        <v>2.71</v>
      </c>
      <c r="G21" s="9">
        <v>5.54</v>
      </c>
      <c r="H21" s="4" t="s">
        <v>41</v>
      </c>
      <c r="I21" s="4">
        <f t="shared" si="1"/>
        <v>48.91696750902527</v>
      </c>
      <c r="J21" s="4" t="s">
        <v>27</v>
      </c>
    </row>
    <row r="22" spans="1:10">
      <c r="A22" s="4">
        <v>2020</v>
      </c>
      <c r="B22" s="4" t="s">
        <v>42</v>
      </c>
      <c r="C22" s="7">
        <v>1367</v>
      </c>
      <c r="D22" s="4" t="s">
        <v>43</v>
      </c>
      <c r="E22" s="4">
        <f t="shared" si="0"/>
        <v>-4.27185E-2</v>
      </c>
      <c r="F22" s="9">
        <v>2.97</v>
      </c>
      <c r="G22" s="9">
        <v>5.72</v>
      </c>
      <c r="H22" s="4" t="s">
        <v>44</v>
      </c>
      <c r="I22" s="4">
        <f t="shared" si="1"/>
        <v>51.923076923076927</v>
      </c>
      <c r="J22" s="4" t="s">
        <v>45</v>
      </c>
    </row>
    <row r="23" spans="1:10">
      <c r="A23" s="4">
        <v>2021</v>
      </c>
      <c r="B23" s="4" t="s">
        <v>46</v>
      </c>
      <c r="C23" s="7">
        <v>1266</v>
      </c>
      <c r="D23" s="4" t="s">
        <v>47</v>
      </c>
      <c r="E23" s="4">
        <f t="shared" si="0"/>
        <v>-2.1388600000000001E-2</v>
      </c>
      <c r="F23" s="9">
        <v>3.45</v>
      </c>
      <c r="G23" s="9">
        <v>6.89</v>
      </c>
      <c r="H23" s="4" t="s">
        <v>48</v>
      </c>
      <c r="I23" s="4">
        <f t="shared" si="1"/>
        <v>50.072568940493476</v>
      </c>
      <c r="J23" s="4" t="s">
        <v>27</v>
      </c>
    </row>
    <row r="24" spans="1:10">
      <c r="A24" s="4">
        <v>2022</v>
      </c>
      <c r="B24" s="4" t="s">
        <v>49</v>
      </c>
      <c r="C24" s="7">
        <v>1123</v>
      </c>
      <c r="D24" s="4" t="s">
        <v>50</v>
      </c>
      <c r="E24" s="4">
        <f t="shared" si="0"/>
        <v>-1.728E-2</v>
      </c>
      <c r="F24" s="9">
        <v>4.18</v>
      </c>
      <c r="G24" s="9">
        <v>8.19</v>
      </c>
      <c r="H24" s="4" t="s">
        <v>51</v>
      </c>
      <c r="I24" s="4">
        <f t="shared" si="1"/>
        <v>51.037851037851034</v>
      </c>
      <c r="J24" s="4" t="s">
        <v>27</v>
      </c>
    </row>
    <row r="25" spans="1:10">
      <c r="A25" s="4">
        <v>2023</v>
      </c>
      <c r="B25" s="4" t="s">
        <v>52</v>
      </c>
      <c r="C25" s="7">
        <v>1000</v>
      </c>
      <c r="D25" s="4" t="s">
        <v>52</v>
      </c>
      <c r="E25" s="4">
        <f t="shared" si="0"/>
        <v>-1.2151E-2</v>
      </c>
      <c r="F25" s="9">
        <v>5.03</v>
      </c>
      <c r="G25" s="9">
        <v>9.49</v>
      </c>
      <c r="H25" s="4" t="s">
        <v>53</v>
      </c>
      <c r="I25" s="4">
        <f t="shared" si="1"/>
        <v>53.003161222339301</v>
      </c>
      <c r="J25" s="4" t="s">
        <v>54</v>
      </c>
    </row>
    <row r="26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15.75" customHeight="1">
      <c r="A27" s="1" t="s">
        <v>55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4" t="s">
        <v>1</v>
      </c>
      <c r="B28" s="4" t="s">
        <v>56</v>
      </c>
      <c r="C28" s="4" t="s">
        <v>16</v>
      </c>
      <c r="D28" s="4" t="s">
        <v>17</v>
      </c>
      <c r="E28" s="4" t="s">
        <v>18</v>
      </c>
      <c r="F28" s="4" t="s">
        <v>19</v>
      </c>
      <c r="G28" s="4" t="s">
        <v>57</v>
      </c>
      <c r="H28" s="4" t="s">
        <v>21</v>
      </c>
      <c r="I28" s="4" t="s">
        <v>22</v>
      </c>
      <c r="J28" s="4" t="s">
        <v>23</v>
      </c>
    </row>
    <row r="29" spans="1:10">
      <c r="A29" s="4">
        <v>2014</v>
      </c>
      <c r="B29" s="4">
        <v>350</v>
      </c>
      <c r="C29" s="7">
        <v>1853</v>
      </c>
      <c r="D29" s="4" t="s">
        <v>58</v>
      </c>
      <c r="E29" s="4">
        <f t="shared" ref="E29:E38" si="2">B3*C3</f>
        <v>-1.8785000000000003E-2</v>
      </c>
      <c r="F29" s="4">
        <v>154</v>
      </c>
      <c r="G29" s="4">
        <v>350</v>
      </c>
      <c r="H29" s="6">
        <v>0.44</v>
      </c>
      <c r="I29" s="4">
        <f t="shared" ref="I29:I38" si="3">(F29/G29)*100</f>
        <v>44</v>
      </c>
      <c r="J29" s="4" t="s">
        <v>27</v>
      </c>
    </row>
    <row r="30" spans="1:10">
      <c r="A30" s="4">
        <v>2015</v>
      </c>
      <c r="B30" s="4">
        <v>370</v>
      </c>
      <c r="C30" s="7">
        <v>1729</v>
      </c>
      <c r="D30" s="4" t="s">
        <v>59</v>
      </c>
      <c r="E30" s="4">
        <f t="shared" si="2"/>
        <v>-2.8439999999999997E-2</v>
      </c>
      <c r="F30" s="4">
        <v>167</v>
      </c>
      <c r="G30" s="4">
        <v>370</v>
      </c>
      <c r="H30" s="6">
        <v>0.45</v>
      </c>
      <c r="I30" s="4">
        <f t="shared" si="3"/>
        <v>45.135135135135137</v>
      </c>
      <c r="J30" s="4" t="s">
        <v>27</v>
      </c>
    </row>
    <row r="31" spans="1:10">
      <c r="A31" s="4">
        <v>2016</v>
      </c>
      <c r="B31" s="4">
        <v>390</v>
      </c>
      <c r="C31" s="7">
        <v>1620</v>
      </c>
      <c r="D31" s="4" t="s">
        <v>60</v>
      </c>
      <c r="E31" s="4">
        <f t="shared" si="2"/>
        <v>-2.82384E-2</v>
      </c>
      <c r="F31" s="4">
        <v>179</v>
      </c>
      <c r="G31" s="4">
        <v>390</v>
      </c>
      <c r="H31" s="6">
        <v>0.46</v>
      </c>
      <c r="I31" s="4">
        <f t="shared" si="3"/>
        <v>45.897435897435898</v>
      </c>
      <c r="J31" s="4" t="s">
        <v>27</v>
      </c>
    </row>
    <row r="32" spans="1:10">
      <c r="A32" s="4">
        <v>2017</v>
      </c>
      <c r="B32" s="4">
        <v>430</v>
      </c>
      <c r="C32" s="7">
        <v>1549</v>
      </c>
      <c r="D32" s="4" t="s">
        <v>61</v>
      </c>
      <c r="E32" s="4">
        <f t="shared" si="2"/>
        <v>-2.7964199999999998E-2</v>
      </c>
      <c r="F32" s="4">
        <v>194</v>
      </c>
      <c r="G32" s="4">
        <v>430</v>
      </c>
      <c r="H32" s="6">
        <v>0.45</v>
      </c>
      <c r="I32" s="4">
        <f t="shared" si="3"/>
        <v>45.116279069767437</v>
      </c>
      <c r="J32" s="4" t="s">
        <v>27</v>
      </c>
    </row>
    <row r="33" spans="1:10">
      <c r="A33" s="4">
        <v>2018</v>
      </c>
      <c r="B33" s="4">
        <v>480</v>
      </c>
      <c r="C33" s="7">
        <v>1481</v>
      </c>
      <c r="D33" s="4" t="s">
        <v>62</v>
      </c>
      <c r="E33" s="4">
        <f t="shared" si="2"/>
        <v>-2.19232E-2</v>
      </c>
      <c r="F33" s="4">
        <v>221</v>
      </c>
      <c r="G33" s="4">
        <v>480</v>
      </c>
      <c r="H33" s="6">
        <v>0.46</v>
      </c>
      <c r="I33" s="4">
        <f t="shared" si="3"/>
        <v>46.041666666666664</v>
      </c>
      <c r="J33" s="4" t="s">
        <v>27</v>
      </c>
    </row>
    <row r="34" spans="1:10">
      <c r="A34" s="4">
        <v>2019</v>
      </c>
      <c r="B34" s="4">
        <v>520</v>
      </c>
      <c r="C34" s="7">
        <v>1409</v>
      </c>
      <c r="D34" s="4" t="s">
        <v>63</v>
      </c>
      <c r="E34" s="4">
        <f t="shared" si="2"/>
        <v>-1.9184E-2</v>
      </c>
      <c r="F34" s="4">
        <v>244</v>
      </c>
      <c r="G34" s="4">
        <v>520</v>
      </c>
      <c r="H34" s="6">
        <v>0.47</v>
      </c>
      <c r="I34" s="4">
        <f t="shared" si="3"/>
        <v>46.92307692307692</v>
      </c>
      <c r="J34" s="4" t="s">
        <v>27</v>
      </c>
    </row>
    <row r="35" spans="1:10">
      <c r="A35" s="4">
        <v>2020</v>
      </c>
      <c r="B35" s="4">
        <v>565</v>
      </c>
      <c r="C35" s="7">
        <v>1367</v>
      </c>
      <c r="D35" s="4" t="s">
        <v>64</v>
      </c>
      <c r="E35" s="4">
        <f t="shared" si="2"/>
        <v>-4.27185E-2</v>
      </c>
      <c r="F35" s="4">
        <v>277</v>
      </c>
      <c r="G35" s="4">
        <v>565</v>
      </c>
      <c r="H35" s="6">
        <v>0.49</v>
      </c>
      <c r="I35" s="4">
        <f t="shared" si="3"/>
        <v>49.026548672566371</v>
      </c>
      <c r="J35" s="4" t="s">
        <v>27</v>
      </c>
    </row>
    <row r="36" spans="1:10">
      <c r="A36" s="4">
        <v>2021</v>
      </c>
      <c r="B36" s="4">
        <v>700</v>
      </c>
      <c r="C36" s="7">
        <v>1266</v>
      </c>
      <c r="D36" s="4" t="s">
        <v>65</v>
      </c>
      <c r="E36" s="4">
        <f t="shared" si="2"/>
        <v>-2.1388600000000001E-2</v>
      </c>
      <c r="F36" s="4">
        <v>329</v>
      </c>
      <c r="G36" s="4">
        <v>700</v>
      </c>
      <c r="H36" s="6">
        <v>0.47</v>
      </c>
      <c r="I36" s="11">
        <f t="shared" si="3"/>
        <v>47</v>
      </c>
      <c r="J36" s="4" t="s">
        <v>27</v>
      </c>
    </row>
    <row r="37" spans="1:10">
      <c r="A37" s="4">
        <v>2022</v>
      </c>
      <c r="B37" s="4">
        <v>920</v>
      </c>
      <c r="C37" s="7">
        <v>1123</v>
      </c>
      <c r="D37" s="12" t="s">
        <v>66</v>
      </c>
      <c r="E37" s="4">
        <f t="shared" si="2"/>
        <v>-1.728E-2</v>
      </c>
      <c r="F37" s="4">
        <v>423</v>
      </c>
      <c r="G37" s="4">
        <v>920</v>
      </c>
      <c r="H37" s="6">
        <v>0.46</v>
      </c>
      <c r="I37" s="4">
        <f t="shared" si="3"/>
        <v>45.978260869565219</v>
      </c>
      <c r="J37" s="4" t="s">
        <v>27</v>
      </c>
    </row>
    <row r="38" spans="1:10">
      <c r="A38" s="4">
        <v>2023</v>
      </c>
      <c r="B38" s="4">
        <v>1060</v>
      </c>
      <c r="C38" s="7">
        <v>1000</v>
      </c>
      <c r="D38" s="4" t="s">
        <v>67</v>
      </c>
      <c r="E38" s="4">
        <f t="shared" si="2"/>
        <v>-1.2151E-2</v>
      </c>
      <c r="F38" s="4">
        <v>498</v>
      </c>
      <c r="G38" s="4">
        <v>1060</v>
      </c>
      <c r="H38" s="6">
        <v>0.47</v>
      </c>
      <c r="I38" s="4">
        <f t="shared" si="3"/>
        <v>46.981132075471699</v>
      </c>
      <c r="J38" s="4" t="s">
        <v>27</v>
      </c>
    </row>
    <row r="39" spans="1:10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15.75" customHeight="1">
      <c r="A40" s="1" t="s">
        <v>68</v>
      </c>
      <c r="B40" s="1"/>
      <c r="C40" s="1"/>
      <c r="D40" s="4"/>
      <c r="E40" s="4"/>
      <c r="F40" s="4"/>
      <c r="G40" s="4"/>
      <c r="H40" s="4"/>
      <c r="I40" s="4"/>
      <c r="J40" s="4"/>
    </row>
    <row r="41" spans="1:10">
      <c r="A41" s="4" t="s">
        <v>69</v>
      </c>
      <c r="B41" s="4" t="s">
        <v>70</v>
      </c>
      <c r="C41" s="4" t="s">
        <v>71</v>
      </c>
      <c r="D41" s="4"/>
      <c r="E41" s="4"/>
      <c r="F41" s="4"/>
      <c r="G41" s="4"/>
      <c r="H41" s="4"/>
      <c r="I41" s="4"/>
      <c r="J41" s="4"/>
    </row>
    <row r="42" spans="1:10">
      <c r="A42" s="4" t="s">
        <v>72</v>
      </c>
      <c r="B42" s="8">
        <v>46235</v>
      </c>
      <c r="C42" s="4" t="s">
        <v>73</v>
      </c>
      <c r="D42" s="4"/>
      <c r="E42" s="4"/>
      <c r="F42" s="4"/>
      <c r="G42" s="4"/>
      <c r="H42" s="4"/>
      <c r="I42" s="4"/>
      <c r="J42" s="4"/>
    </row>
    <row r="43" spans="1:10">
      <c r="A43" s="4" t="s">
        <v>74</v>
      </c>
      <c r="B43" s="7">
        <v>968</v>
      </c>
      <c r="C43" s="4" t="s">
        <v>75</v>
      </c>
      <c r="D43" s="4"/>
      <c r="E43" s="4"/>
      <c r="F43" s="4"/>
      <c r="G43" s="4"/>
      <c r="H43" s="4"/>
      <c r="I43" s="4"/>
      <c r="J43" s="4"/>
    </row>
    <row r="44" spans="1:10">
      <c r="A44" s="4" t="s">
        <v>76</v>
      </c>
      <c r="B44" s="4" t="s">
        <v>77</v>
      </c>
      <c r="C44" s="4" t="s">
        <v>78</v>
      </c>
      <c r="D44" s="4"/>
      <c r="E44" s="4"/>
      <c r="F44" s="4"/>
      <c r="G44" s="4"/>
      <c r="H44" s="4"/>
      <c r="I44" s="4"/>
      <c r="J44" s="4"/>
    </row>
    <row r="45" spans="1:10" ht="24">
      <c r="A45" s="4" t="s">
        <v>79</v>
      </c>
      <c r="B45" s="4" t="s">
        <v>80</v>
      </c>
      <c r="C45" s="4" t="s">
        <v>81</v>
      </c>
      <c r="D45" s="4"/>
      <c r="E45" s="4"/>
      <c r="F45" s="4"/>
      <c r="G45" s="4"/>
      <c r="H45" s="4"/>
      <c r="I45" s="4"/>
      <c r="J45" s="4"/>
    </row>
    <row r="46" spans="1:10">
      <c r="A46" s="4" t="s">
        <v>82</v>
      </c>
      <c r="B46" s="4" t="s">
        <v>83</v>
      </c>
      <c r="C46" s="4" t="s">
        <v>84</v>
      </c>
      <c r="D46" s="4"/>
      <c r="E46" s="4"/>
      <c r="F46" s="4"/>
      <c r="G46" s="4"/>
      <c r="H46" s="4"/>
      <c r="I46" s="4"/>
      <c r="J46" s="4"/>
    </row>
  </sheetData>
  <autoFilter ref="A1:J46"/>
  <mergeCells count="4">
    <mergeCell ref="A1:G1"/>
    <mergeCell ref="A14:J14"/>
    <mergeCell ref="A27:J27"/>
    <mergeCell ref="A40:C40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2.75"/>
  <cols>
    <col min="1" max="1" width="22" customWidth="1"/>
    <col min="2" max="2" width="8" customWidth="1"/>
    <col min="3" max="3" width="17" customWidth="1"/>
    <col min="4" max="33" width="42" customWidth="1"/>
  </cols>
  <sheetData>
    <row r="1" spans="1:33" ht="33.75" customHeight="1">
      <c r="A1" s="3" t="s">
        <v>85</v>
      </c>
      <c r="B1" s="3" t="s">
        <v>1</v>
      </c>
      <c r="C1" s="3" t="s">
        <v>86</v>
      </c>
      <c r="D1" s="3" t="s">
        <v>87</v>
      </c>
      <c r="E1" s="3" t="s">
        <v>88</v>
      </c>
      <c r="F1" s="3" t="s">
        <v>89</v>
      </c>
      <c r="G1" s="3" t="s">
        <v>90</v>
      </c>
      <c r="H1" s="3" t="s">
        <v>91</v>
      </c>
      <c r="I1" s="3" t="s">
        <v>92</v>
      </c>
      <c r="J1" s="3" t="s">
        <v>93</v>
      </c>
      <c r="K1" s="3" t="s">
        <v>94</v>
      </c>
      <c r="L1" s="3" t="s">
        <v>95</v>
      </c>
      <c r="M1" s="3" t="s">
        <v>96</v>
      </c>
      <c r="N1" s="3" t="s">
        <v>97</v>
      </c>
      <c r="O1" s="3" t="s">
        <v>98</v>
      </c>
      <c r="P1" s="3" t="s">
        <v>99</v>
      </c>
      <c r="Q1" s="3" t="s">
        <v>100</v>
      </c>
      <c r="R1" s="3" t="s">
        <v>101</v>
      </c>
      <c r="S1" s="3" t="s">
        <v>102</v>
      </c>
      <c r="T1" s="3" t="s">
        <v>103</v>
      </c>
      <c r="U1" s="3" t="s">
        <v>104</v>
      </c>
      <c r="V1" s="3" t="s">
        <v>105</v>
      </c>
      <c r="W1" s="3" t="s">
        <v>106</v>
      </c>
      <c r="X1" s="3" t="s">
        <v>107</v>
      </c>
      <c r="Y1" s="3" t="s">
        <v>108</v>
      </c>
      <c r="Z1" s="3" t="s">
        <v>109</v>
      </c>
      <c r="AA1" s="3" t="s">
        <v>110</v>
      </c>
      <c r="AB1" s="3" t="s">
        <v>111</v>
      </c>
      <c r="AC1" s="3" t="s">
        <v>112</v>
      </c>
      <c r="AD1" s="3" t="s">
        <v>113</v>
      </c>
      <c r="AE1" s="3" t="s">
        <v>114</v>
      </c>
      <c r="AF1" s="3" t="s">
        <v>115</v>
      </c>
      <c r="AG1" s="3" t="s">
        <v>116</v>
      </c>
    </row>
    <row r="2" spans="1:33">
      <c r="A2" s="4" t="s">
        <v>117</v>
      </c>
      <c r="B2" s="13">
        <v>2014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5">
        <f>IF('Dados tratados'!E160="","",'Dados tratados'!E160)</f>
        <v>56116643786</v>
      </c>
      <c r="R2" s="15">
        <f>IF('Dados tratados'!G160="","",'Dados tratados'!G160)</f>
        <v>103638461906.27238</v>
      </c>
      <c r="S2" s="15">
        <f>IF('Dados tratados'!G161="","",'Dados tratados'!G161)</f>
        <v>40296.515727044112</v>
      </c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>
      <c r="A3" s="4" t="s">
        <v>117</v>
      </c>
      <c r="B3" s="13">
        <v>2015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>
        <f>IF('Dados tratados'!E168="","",'Dados tratados'!E168)</f>
        <v>57211199796</v>
      </c>
      <c r="R3" s="15">
        <f>IF('Dados tratados'!G168="","",'Dados tratados'!G168)</f>
        <v>96909132930.92511</v>
      </c>
      <c r="S3" s="15">
        <f>IF('Dados tratados'!G169="","",'Dados tratados'!G169)</f>
        <v>37399.500812603197</v>
      </c>
      <c r="T3" s="15">
        <f>IF('Dados tratados'!J167="","",ROUND('Dados tratados'!J167,1))</f>
        <v>5.4</v>
      </c>
      <c r="U3" s="15">
        <f>IF('Dados tratados'!J166="","",ROUND('Dados tratados'!J166,1))</f>
        <v>4.4000000000000004</v>
      </c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>
      <c r="A4" s="4" t="s">
        <v>117</v>
      </c>
      <c r="B4" s="13">
        <v>2016</v>
      </c>
      <c r="C4" s="15">
        <f>IF('Dados tratados'!E179="","",'Dados tratados'!E179)</f>
        <v>2609716</v>
      </c>
      <c r="D4" s="15">
        <f>IF('Dados tratados'!E182="","",'Dados tratados'!E182)</f>
        <v>6627300489.8299999</v>
      </c>
      <c r="E4" s="15">
        <f>IF('Dados tratados'!G182="","",'Dados tratados'!G182)</f>
        <v>10323676965.669001</v>
      </c>
      <c r="F4" s="15">
        <f>IF('Dados tratados'!G183="","",'Dados tratados'!G183)</f>
        <v>9742497733.7609901</v>
      </c>
      <c r="G4" s="15">
        <f>IF('Dados tratados'!G170="","",'Dados tratados'!G170)</f>
        <v>2255962900.4001155</v>
      </c>
      <c r="H4" s="15">
        <f>IF('Dados tratados'!I182="","",'Dados tratados'!I182)</f>
        <v>3955.8622339246876</v>
      </c>
      <c r="I4" s="15">
        <f>IF('Dados tratados'!G184="","",'Dados tratados'!G184)</f>
        <v>2753217113.3217578</v>
      </c>
      <c r="J4" s="15">
        <f>IF('Dados tratados'!G185="","",'Dados tratados'!G185)</f>
        <v>1839281439.3965399</v>
      </c>
      <c r="K4" s="15">
        <f>IF('Dados tratados'!G173="","",'Dados tratados'!G173)</f>
        <v>9417920717.2821236</v>
      </c>
      <c r="L4" s="15">
        <f>IF('Dados tratados'!G174="","",'Dados tratados'!G174)</f>
        <v>9284881101.4629269</v>
      </c>
      <c r="M4" s="15">
        <f>IF('Dados tratados'!G175="","",'Dados tratados'!G175)</f>
        <v>9229926577.5109119</v>
      </c>
      <c r="N4" s="15">
        <f>IF('Dados tratados'!G176="","",'Dados tratados'!G176)</f>
        <v>3915258537.7005258</v>
      </c>
      <c r="O4" s="15">
        <f>IF('Dados tratados'!G180="","",'Dados tratados'!G180)</f>
        <v>8355761422.0131121</v>
      </c>
      <c r="P4" s="15">
        <f>IF('Dados tratados'!J171="","",'Dados tratados'!J171)</f>
        <v>46.86</v>
      </c>
      <c r="Q4" s="15">
        <f>IF('Dados tratados'!E177="","",'Dados tratados'!E177)</f>
        <v>60088000548</v>
      </c>
      <c r="R4" s="15">
        <f>IF('Dados tratados'!G177="","",'Dados tratados'!G177)</f>
        <v>93602079477.522873</v>
      </c>
      <c r="S4" s="15">
        <f>IF('Dados tratados'!G178="","",'Dados tratados'!G178)</f>
        <v>35866.771863824964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 spans="1:33">
      <c r="A5" s="4" t="s">
        <v>117</v>
      </c>
      <c r="B5" s="13">
        <v>2017</v>
      </c>
      <c r="C5" s="15">
        <f>IF('Dados tratados'!E201="","",'Dados tratados'!E201)</f>
        <v>2627482</v>
      </c>
      <c r="D5" s="15">
        <f>IF('Dados tratados'!E204="","",'Dados tratados'!E204)</f>
        <v>6810527069.4799995</v>
      </c>
      <c r="E5" s="15">
        <f>IF('Dados tratados'!G204="","",'Dados tratados'!G204)</f>
        <v>10255650165.613529</v>
      </c>
      <c r="F5" s="15">
        <f>IF('Dados tratados'!G205="","",'Dados tratados'!G205)</f>
        <v>9673805935.5377941</v>
      </c>
      <c r="G5" s="15">
        <f>IF('Dados tratados'!G186="","",'Dados tratados'!G186)</f>
        <v>2380757814.317966</v>
      </c>
      <c r="H5" s="15">
        <f>IF('Dados tratados'!I204="","",'Dados tratados'!I204)</f>
        <v>3903.2237578082472</v>
      </c>
      <c r="I5" s="15">
        <f>IF('Dados tratados'!G206="","",'Dados tratados'!G206)</f>
        <v>2707791624.938468</v>
      </c>
      <c r="J5" s="15">
        <f>IF('Dados tratados'!G207="","",'Dados tratados'!G207)</f>
        <v>1924627808.019356</v>
      </c>
      <c r="K5" s="15">
        <f>IF('Dados tratados'!G189="","",'Dados tratados'!G189)</f>
        <v>9826679060.8530941</v>
      </c>
      <c r="L5" s="15">
        <f>IF('Dados tratados'!G190="","",'Dados tratados'!G190)</f>
        <v>9589092470.259594</v>
      </c>
      <c r="M5" s="15">
        <f>IF('Dados tratados'!G191="","",'Dados tratados'!G191)</f>
        <v>9496123997.8346882</v>
      </c>
      <c r="N5" s="15">
        <f>IF('Dados tratados'!G192="","",'Dados tratados'!G192)</f>
        <v>3980805118.1961713</v>
      </c>
      <c r="O5" s="15">
        <f>IF('Dados tratados'!G202="","",'Dados tratados'!G202)</f>
        <v>8461090333.0168371</v>
      </c>
      <c r="P5" s="15">
        <f>IF('Dados tratados'!J187="","",'Dados tratados'!J187)</f>
        <v>47.05</v>
      </c>
      <c r="Q5" s="15">
        <f>IF('Dados tratados'!E199="","",'Dados tratados'!E199)</f>
        <v>61592346898</v>
      </c>
      <c r="R5" s="15">
        <f>IF('Dados tratados'!G199="","",'Dados tratados'!G199)</f>
        <v>92748998164.282913</v>
      </c>
      <c r="S5" s="15">
        <f>IF('Dados tratados'!G200="","",'Dados tratados'!G200)</f>
        <v>35299.580181259043</v>
      </c>
      <c r="T5" s="15">
        <f>IF('Dados tratados'!J198="","",ROUND('Dados tratados'!J198,1))</f>
        <v>6</v>
      </c>
      <c r="U5" s="15">
        <f>IF('Dados tratados'!J197="","",ROUND('Dados tratados'!J197,1))</f>
        <v>4.9000000000000004</v>
      </c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</row>
    <row r="6" spans="1:33">
      <c r="A6" s="4" t="s">
        <v>117</v>
      </c>
      <c r="B6" s="13">
        <v>2018</v>
      </c>
      <c r="C6" s="15">
        <f>IF('Dados tratados'!E217="","",'Dados tratados'!E217)</f>
        <v>2643247</v>
      </c>
      <c r="D6" s="15">
        <f>IF('Dados tratados'!E220="","",'Dados tratados'!E220)</f>
        <v>7415661352.8800001</v>
      </c>
      <c r="E6" s="15">
        <f>IF('Dados tratados'!G220="","",'Dados tratados'!G220)</f>
        <v>10772111466.039173</v>
      </c>
      <c r="F6" s="15">
        <f>IF('Dados tratados'!G221="","",'Dados tratados'!G221)</f>
        <v>10171016313.691767</v>
      </c>
      <c r="G6" s="15">
        <f>IF('Dados tratados'!G208="","",'Dados tratados'!G208)</f>
        <v>2658636411.5614905</v>
      </c>
      <c r="H6" s="15">
        <f>IF('Dados tratados'!I220="","",'Dados tratados'!I220)</f>
        <v>4075.3329015559925</v>
      </c>
      <c r="I6" s="15">
        <f>IF('Dados tratados'!G222="","",'Dados tratados'!G222)</f>
        <v>2829809510.3274574</v>
      </c>
      <c r="J6" s="15">
        <f>IF('Dados tratados'!G223="","",'Dados tratados'!G223)</f>
        <v>2018469522.7855859</v>
      </c>
      <c r="K6" s="15">
        <f>IF('Dados tratados'!G211="","",'Dados tratados'!G211)</f>
        <v>9988854120.4546356</v>
      </c>
      <c r="L6" s="15">
        <f>IF('Dados tratados'!G212="","",'Dados tratados'!G212)</f>
        <v>9836568350.7946911</v>
      </c>
      <c r="M6" s="15">
        <f>IF('Dados tratados'!G213="","",'Dados tratados'!G213)</f>
        <v>9780794893.2225246</v>
      </c>
      <c r="N6" s="15">
        <f>IF('Dados tratados'!G214="","",'Dados tratados'!G214)</f>
        <v>3995675557.8475747</v>
      </c>
      <c r="O6" s="15">
        <f>IF('Dados tratados'!G218="","",'Dados tratados'!G218)</f>
        <v>8835190759.4275322</v>
      </c>
      <c r="P6" s="15">
        <f>IF('Dados tratados'!J209="","",'Dados tratados'!J209)</f>
        <v>45.3</v>
      </c>
      <c r="Q6" s="15">
        <f>IF('Dados tratados'!E215="","",'Dados tratados'!E215)</f>
        <v>66381302296</v>
      </c>
      <c r="R6" s="15">
        <f>IF('Dados tratados'!G215="","",'Dados tratados'!G215)</f>
        <v>96426569872.374985</v>
      </c>
      <c r="S6" s="15">
        <f>IF('Dados tratados'!G216="","",'Dados tratados'!G216)</f>
        <v>36480.340634995424</v>
      </c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</row>
    <row r="7" spans="1:33">
      <c r="A7" s="4" t="s">
        <v>117</v>
      </c>
      <c r="B7" s="13">
        <v>2019</v>
      </c>
      <c r="C7" s="15">
        <f>IF('Dados tratados'!E239="","",'Dados tratados'!E239)</f>
        <v>2669342</v>
      </c>
      <c r="D7" s="15">
        <f>IF('Dados tratados'!E242="","",'Dados tratados'!E242)</f>
        <v>8558992046.2299995</v>
      </c>
      <c r="E7" s="15">
        <f>IF('Dados tratados'!G242="","",'Dados tratados'!G242)</f>
        <v>11985515948.462738</v>
      </c>
      <c r="F7" s="15">
        <f>IF('Dados tratados'!G243="","",'Dados tratados'!G243)</f>
        <v>11361317099.699537</v>
      </c>
      <c r="G7" s="15">
        <f>IF('Dados tratados'!G224="","",'Dados tratados'!G224)</f>
        <v>2776029844.4202051</v>
      </c>
      <c r="H7" s="15">
        <f>IF('Dados tratados'!I242="","",'Dados tratados'!I242)</f>
        <v>4490.0638241419565</v>
      </c>
      <c r="I7" s="15">
        <f>IF('Dados tratados'!G244="","",'Dados tratados'!G244)</f>
        <v>3239624820.3456984</v>
      </c>
      <c r="J7" s="15">
        <f>IF('Dados tratados'!G245="","",'Dados tratados'!G245)</f>
        <v>2022761478.9838641</v>
      </c>
      <c r="K7" s="15">
        <f>IF('Dados tratados'!G227="","",'Dados tratados'!G227)</f>
        <v>11493260317.893517</v>
      </c>
      <c r="L7" s="15">
        <f>IF('Dados tratados'!G228="","",'Dados tratados'!G228)</f>
        <v>10969121615.49094</v>
      </c>
      <c r="M7" s="15">
        <f>IF('Dados tratados'!G229="","",'Dados tratados'!G229)</f>
        <v>10881688577.560759</v>
      </c>
      <c r="N7" s="15">
        <f>IF('Dados tratados'!G230="","",'Dados tratados'!G230)</f>
        <v>4079526089.9348154</v>
      </c>
      <c r="O7" s="15">
        <f>IF('Dados tratados'!G240="","",'Dados tratados'!G240)</f>
        <v>9669235936.4091511</v>
      </c>
      <c r="P7" s="15">
        <f>IF('Dados tratados'!J225="","",'Dados tratados'!J225)</f>
        <v>42.31</v>
      </c>
      <c r="Q7" s="15">
        <f>IF('Dados tratados'!E237="","",'Dados tratados'!E237)</f>
        <v>67401429903</v>
      </c>
      <c r="R7" s="15">
        <f>IF('Dados tratados'!G237="","",'Dados tratados'!G237)</f>
        <v>94385052432.363403</v>
      </c>
      <c r="S7" s="15">
        <f>IF('Dados tratados'!G238="","",'Dados tratados'!G238)</f>
        <v>35358.915298347187</v>
      </c>
      <c r="T7" s="15">
        <f>IF('Dados tratados'!J236="","",ROUND('Dados tratados'!J236,1))</f>
        <v>6.2</v>
      </c>
      <c r="U7" s="15">
        <f>IF('Dados tratados'!J235="","",ROUND('Dados tratados'!J235,1))</f>
        <v>5.2</v>
      </c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</row>
    <row r="8" spans="1:33">
      <c r="A8" s="4" t="s">
        <v>117</v>
      </c>
      <c r="B8" s="13">
        <v>2020</v>
      </c>
      <c r="C8" s="15">
        <f>IF('Dados tratados'!E255="","",'Dados tratados'!E255)</f>
        <v>2686612</v>
      </c>
      <c r="D8" s="15">
        <f>IF('Dados tratados'!E258="","",'Dados tratados'!E258)</f>
        <v>8720758081.8600006</v>
      </c>
      <c r="E8" s="15">
        <f>IF('Dados tratados'!G258="","",'Dados tratados'!G258)</f>
        <v>11832026475.991238</v>
      </c>
      <c r="F8" s="15">
        <f>IF('Dados tratados'!G259="","",'Dados tratados'!G259)</f>
        <v>11236069958.109819</v>
      </c>
      <c r="G8" s="15">
        <f>IF('Dados tratados'!G246="","",'Dados tratados'!G246)</f>
        <v>2633763733.0047951</v>
      </c>
      <c r="H8" s="15">
        <f>IF('Dados tratados'!I258="","",'Dados tratados'!I258)</f>
        <v>4404.0696892559245</v>
      </c>
      <c r="I8" s="15">
        <f>IF('Dados tratados'!G260="","",'Dados tratados'!G260)</f>
        <v>4035566115.0245237</v>
      </c>
      <c r="J8" s="15">
        <f>IF('Dados tratados'!G261="","",'Dados tratados'!G261)</f>
        <v>1907885926.6870954</v>
      </c>
      <c r="K8" s="15">
        <f>IF('Dados tratados'!G249="","",'Dados tratados'!G249)</f>
        <v>12257284485.470428</v>
      </c>
      <c r="L8" s="15">
        <f>IF('Dados tratados'!G250="","",'Dados tratados'!G250)</f>
        <v>11733901775.015799</v>
      </c>
      <c r="M8" s="15">
        <f>IF('Dados tratados'!G251="","",'Dados tratados'!G251)</f>
        <v>11694118527.590347</v>
      </c>
      <c r="N8" s="15">
        <f>IF('Dados tratados'!G252="","",'Dados tratados'!G252)</f>
        <v>4438773486.3043814</v>
      </c>
      <c r="O8" s="15">
        <f>IF('Dados tratados'!G256="","",'Dados tratados'!G256)</f>
        <v>9645662901.1817741</v>
      </c>
      <c r="P8" s="15">
        <f>IF('Dados tratados'!J247="","",'Dados tratados'!J247)</f>
        <v>46.03</v>
      </c>
      <c r="Q8" s="15">
        <f>IF('Dados tratados'!E253="","",'Dados tratados'!E253)</f>
        <v>64821581710</v>
      </c>
      <c r="R8" s="15">
        <f>IF('Dados tratados'!G253="","",'Dados tratados'!G253)</f>
        <v>87947706358.661713</v>
      </c>
      <c r="S8" s="15">
        <f>IF('Dados tratados'!G254="","",'Dados tratados'!G254)</f>
        <v>32735.543662969299</v>
      </c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 spans="1:33">
      <c r="A9" s="4" t="s">
        <v>117</v>
      </c>
      <c r="B9" s="13">
        <v>2021</v>
      </c>
      <c r="C9" s="15">
        <f>IF('Dados tratados'!E277="","",'Dados tratados'!E277)</f>
        <v>2703391</v>
      </c>
      <c r="D9" s="15">
        <f>IF('Dados tratados'!E280="","",'Dados tratados'!E280)</f>
        <v>9559438138.8199997</v>
      </c>
      <c r="E9" s="15">
        <f>IF('Dados tratados'!G280="","",'Dados tratados'!G280)</f>
        <v>11975734203.044647</v>
      </c>
      <c r="F9" s="15">
        <f>IF('Dados tratados'!G281="","",'Dados tratados'!G281)</f>
        <v>11292288819.829855</v>
      </c>
      <c r="G9" s="15">
        <f>IF('Dados tratados'!G262="","",'Dados tratados'!G262)</f>
        <v>2895323019.9153934</v>
      </c>
      <c r="H9" s="15">
        <f>IF('Dados tratados'!I280="","",'Dados tratados'!I280)</f>
        <v>4429.8934941503639</v>
      </c>
      <c r="I9" s="15">
        <f>IF('Dados tratados'!G282="","",'Dados tratados'!G282)</f>
        <v>3527436060.2080531</v>
      </c>
      <c r="J9" s="15">
        <f>IF('Dados tratados'!G283="","",'Dados tratados'!G283)</f>
        <v>2117125019.1607161</v>
      </c>
      <c r="K9" s="15">
        <f>IF('Dados tratados'!G265="","",'Dados tratados'!G265)</f>
        <v>11534365810.394953</v>
      </c>
      <c r="L9" s="15">
        <f>IF('Dados tratados'!G266="","",'Dados tratados'!G266)</f>
        <v>10910317673.065414</v>
      </c>
      <c r="M9" s="15">
        <f>IF('Dados tratados'!G267="","",'Dados tratados'!G267)</f>
        <v>10810447888.262663</v>
      </c>
      <c r="N9" s="15">
        <f>IF('Dados tratados'!G268="","",'Dados tratados'!G268)</f>
        <v>4422926689.6458998</v>
      </c>
      <c r="O9" s="15">
        <f>IF('Dados tratados'!G278="","",'Dados tratados'!G278)</f>
        <v>9649150411.5603008</v>
      </c>
      <c r="P9" s="15">
        <f>IF('Dados tratados'!J263="","",'Dados tratados'!J263)</f>
        <v>45.88</v>
      </c>
      <c r="Q9" s="15">
        <f>IF('Dados tratados'!E275="","",'Dados tratados'!E275)</f>
        <v>73437738924</v>
      </c>
      <c r="R9" s="15">
        <f>IF('Dados tratados'!G275="","",'Dados tratados'!G275)</f>
        <v>92000264979.482391</v>
      </c>
      <c r="S9" s="15">
        <f>IF('Dados tratados'!G276="","",'Dados tratados'!G276)</f>
        <v>34031.437171115489</v>
      </c>
      <c r="T9" s="15">
        <f>IF('Dados tratados'!J274="","",ROUND('Dados tratados'!J274,1))</f>
        <v>5.8</v>
      </c>
      <c r="U9" s="15">
        <f>IF('Dados tratados'!J273="","",ROUND('Dados tratados'!J273,1))</f>
        <v>5.2</v>
      </c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 spans="1:33">
      <c r="A10" s="4" t="s">
        <v>117</v>
      </c>
      <c r="B10" s="13">
        <v>2022</v>
      </c>
      <c r="C10" s="15">
        <f>IF('Dados tratados'!E293="","",'Dados tratados'!E293)</f>
        <v>2428708</v>
      </c>
      <c r="D10" s="15">
        <f>IF('Dados tratados'!E296="","",'Dados tratados'!E296)</f>
        <v>10984910400.719999</v>
      </c>
      <c r="E10" s="15">
        <f>IF('Dados tratados'!G296="","",'Dados tratados'!G296)</f>
        <v>12592883693.092339</v>
      </c>
      <c r="F10" s="15">
        <f>IF('Dados tratados'!G297="","",'Dados tratados'!G297)</f>
        <v>11914791981.084072</v>
      </c>
      <c r="G10" s="15">
        <f>IF('Dados tratados'!G284="","",'Dados tratados'!G284)</f>
        <v>3096900116.4866943</v>
      </c>
      <c r="H10" s="15">
        <f>IF('Dados tratados'!I296="","",'Dados tratados'!I296)</f>
        <v>5185.0134693393929</v>
      </c>
      <c r="I10" s="15">
        <f>IF('Dados tratados'!G298="","",'Dados tratados'!G298)</f>
        <v>3759342855.1196837</v>
      </c>
      <c r="J10" s="15">
        <f>IF('Dados tratados'!G299="","",'Dados tratados'!G299)</f>
        <v>1978052628.491199</v>
      </c>
      <c r="K10" s="15">
        <f>IF('Dados tratados'!G287="","",'Dados tratados'!G287)</f>
        <v>11790014511.015419</v>
      </c>
      <c r="L10" s="15">
        <f>IF('Dados tratados'!G288="","",'Dados tratados'!G288)</f>
        <v>11613264492.48875</v>
      </c>
      <c r="M10" s="15">
        <f>IF('Dados tratados'!G289="","",'Dados tratados'!G289)</f>
        <v>11499775673.942104</v>
      </c>
      <c r="N10" s="15">
        <f>IF('Dados tratados'!G290="","",'Dados tratados'!G290)</f>
        <v>5048474849.4095755</v>
      </c>
      <c r="O10" s="15">
        <f>IF('Dados tratados'!G294="","",'Dados tratados'!G294)</f>
        <v>10237463953.747688</v>
      </c>
      <c r="P10" s="15">
        <f>IF('Dados tratados'!J285="","",'Dados tratados'!J285)</f>
        <v>49.34</v>
      </c>
      <c r="Q10" s="15">
        <f>IF('Dados tratados'!E291="","",'Dados tratados'!E291)</f>
        <v>81362332600</v>
      </c>
      <c r="R10" s="15">
        <f>IF('Dados tratados'!G291="","",'Dados tratados'!G291)</f>
        <v>93272166458.757767</v>
      </c>
      <c r="S10" s="15">
        <f>IF('Dados tratados'!G292="","",'Dados tratados'!G292)</f>
        <v>38404.504503106051</v>
      </c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>
      <c r="A11" s="4" t="s">
        <v>117</v>
      </c>
      <c r="B11" s="13">
        <v>2023</v>
      </c>
      <c r="C11" s="15" t="str">
        <f>IF('Dados tratados'!E315="","",'Dados tratados'!E315)</f>
        <v/>
      </c>
      <c r="D11" s="15">
        <f>IF('Dados tratados'!E318="","",'Dados tratados'!E318)</f>
        <v>13483834203.27</v>
      </c>
      <c r="E11" s="15">
        <f>IF('Dados tratados'!G318="","",'Dados tratados'!G318)</f>
        <v>14778730185.877634</v>
      </c>
      <c r="F11" s="15">
        <f>IF('Dados tratados'!G319="","",'Dados tratados'!G319)</f>
        <v>14107822324.014828</v>
      </c>
      <c r="G11" s="15">
        <f>IF('Dados tratados'!G300="","",'Dados tratados'!G300)</f>
        <v>3577355305.2582726</v>
      </c>
      <c r="H11" s="15" t="str">
        <f>IF('Dados tratados'!I318="","",'Dados tratados'!I318)</f>
        <v/>
      </c>
      <c r="I11" s="15">
        <f>IF('Dados tratados'!G320="","",'Dados tratados'!G320)</f>
        <v>4097088255.4965439</v>
      </c>
      <c r="J11" s="15">
        <f>IF('Dados tratados'!G321="","",'Dados tratados'!G321)</f>
        <v>1865873178.3961117</v>
      </c>
      <c r="K11" s="15">
        <f>IF('Dados tratados'!G303="","",'Dados tratados'!G303)</f>
        <v>13468419947.083166</v>
      </c>
      <c r="L11" s="15">
        <f>IF('Dados tratados'!G304="","",'Dados tratados'!G304)</f>
        <v>13208964766.084684</v>
      </c>
      <c r="M11" s="15">
        <f>IF('Dados tratados'!G305="","",'Dados tratados'!G305)</f>
        <v>13070283006.878304</v>
      </c>
      <c r="N11" s="15">
        <f>IF('Dados tratados'!G306="","",'Dados tratados'!G306)</f>
        <v>5273076946.1308584</v>
      </c>
      <c r="O11" s="15">
        <f>IF('Dados tratados'!G316="","",'Dados tratados'!G316)</f>
        <v>11081710605.040966</v>
      </c>
      <c r="P11" s="15">
        <f>IF('Dados tratados'!J301="","",'Dados tratados'!J301)</f>
        <v>48.38</v>
      </c>
      <c r="Q11" s="15">
        <f>IF('Dados tratados'!E313="","",'Dados tratados'!E313)</f>
        <v>86939831736</v>
      </c>
      <c r="R11" s="15">
        <f>IF('Dados tratados'!G313="","",'Dados tratados'!G313)</f>
        <v>95288943505.42746</v>
      </c>
      <c r="S11" s="15">
        <f>IF('Dados tratados'!G314="","",'Dados tratados'!G314)</f>
        <v>39234.416117762463</v>
      </c>
      <c r="T11" s="15">
        <f>IF('Dados tratados'!J312="","",ROUND('Dados tratados'!J312,1))</f>
        <v>5.9</v>
      </c>
      <c r="U11" s="15">
        <f>IF('Dados tratados'!J311="","",ROUND('Dados tratados'!J311,1))</f>
        <v>5.2</v>
      </c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>
      <c r="A12" s="4" t="s">
        <v>117</v>
      </c>
      <c r="B12" s="13">
        <v>2024</v>
      </c>
      <c r="C12" s="15">
        <f>IF('Dados tratados'!E329="","",'Dados tratados'!E329)</f>
        <v>2574412</v>
      </c>
      <c r="D12" s="15">
        <f>IF('Dados tratados'!E332="","",'Dados tratados'!E332)</f>
        <v>14142951126.709999</v>
      </c>
      <c r="E12" s="15">
        <f>IF('Dados tratados'!G332="","",'Dados tratados'!G332)</f>
        <v>14852468022.802992</v>
      </c>
      <c r="F12" s="15">
        <f>IF('Dados tratados'!G333="","",'Dados tratados'!G333)</f>
        <v>14121628559.365618</v>
      </c>
      <c r="G12" s="15">
        <f>IF('Dados tratados'!G322="","",'Dados tratados'!G322)</f>
        <v>3772490761.7069855</v>
      </c>
      <c r="H12" s="15">
        <f>IF('Dados tratados'!I332="","",'Dados tratados'!I332)</f>
        <v>5769.2661558456812</v>
      </c>
      <c r="I12" s="15">
        <f>IF('Dados tratados'!G334="","",'Dados tratados'!G334)</f>
        <v>4499524977.6152992</v>
      </c>
      <c r="J12" s="15">
        <f>IF('Dados tratados'!G335="","",'Dados tratados'!G335)</f>
        <v>1980745335.1489048</v>
      </c>
      <c r="K12" s="15">
        <f>IF('Dados tratados'!G325="","",'Dados tratados'!G325)</f>
        <v>14981081829.026167</v>
      </c>
      <c r="L12" s="15">
        <f>IF('Dados tratados'!G326="","",'Dados tratados'!G326)</f>
        <v>14651817328.94681</v>
      </c>
      <c r="M12" s="15">
        <f>IF('Dados tratados'!G327="","",'Dados tratados'!G327)</f>
        <v>14613052520.033699</v>
      </c>
      <c r="N12" s="15">
        <f>IF('Dados tratados'!G328="","",'Dados tratados'!G328)</f>
        <v>5671091394.0553036</v>
      </c>
      <c r="O12" s="15">
        <f>IF('Dados tratados'!G330="","",'Dados tratados'!G330)</f>
        <v>12012217897.373217</v>
      </c>
      <c r="P12" s="15">
        <f>IF('Dados tratados'!J323="","",'Dados tratados'!J323)</f>
        <v>47.87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>
      <c r="A13" s="4" t="s">
        <v>117</v>
      </c>
      <c r="B13" s="13">
        <v>2025</v>
      </c>
      <c r="C13" s="15">
        <f>IF('Dados tratados'!E349="","",'Dados tratados'!E349)</f>
        <v>2578483</v>
      </c>
      <c r="D13" s="15">
        <f>IF('Dados tratados'!E352="","",'Dados tratados'!E352)</f>
        <v>15325827755.68</v>
      </c>
      <c r="E13" s="15">
        <f>IF('Dados tratados'!G352="","",'Dados tratados'!G352)</f>
        <v>15325827755.68</v>
      </c>
      <c r="F13" s="15">
        <f>IF('Dados tratados'!G353="","",'Dados tratados'!G353)</f>
        <v>14587634653.280001</v>
      </c>
      <c r="G13" s="15">
        <f>IF('Dados tratados'!G336="","",'Dados tratados'!G336)</f>
        <v>3739860959.79</v>
      </c>
      <c r="H13" s="15">
        <f>IF('Dados tratados'!I352="","",'Dados tratados'!I352)</f>
        <v>5943.7381420315742</v>
      </c>
      <c r="I13" s="15">
        <f>IF('Dados tratados'!G354="","",'Dados tratados'!G354)</f>
        <v>4999148127.9799995</v>
      </c>
      <c r="J13" s="15">
        <f>IF('Dados tratados'!G355="","",'Dados tratados'!G355)</f>
        <v>2017594590.46</v>
      </c>
      <c r="K13" s="15">
        <f>IF('Dados tratados'!G339="","",'Dados tratados'!G339)</f>
        <v>13965276937.07</v>
      </c>
      <c r="L13" s="15">
        <f>IF('Dados tratados'!G340="","",'Dados tratados'!G340)</f>
        <v>13789180284.92</v>
      </c>
      <c r="M13" s="15">
        <f>IF('Dados tratados'!G341="","",'Dados tratados'!G341)</f>
        <v>13760843623.280001</v>
      </c>
      <c r="N13" s="15">
        <f>IF('Dados tratados'!G342="","",'Dados tratados'!G342)</f>
        <v>5714235305.7799997</v>
      </c>
      <c r="O13" s="15">
        <f>IF('Dados tratados'!G350="","",'Dados tratados'!G350)</f>
        <v>12539078077.42</v>
      </c>
      <c r="P13" s="15">
        <f>IF('Dados tratados'!J337="","",'Dados tratados'!J337)</f>
        <v>46.54</v>
      </c>
      <c r="Q13" s="14"/>
      <c r="R13" s="14"/>
      <c r="S13" s="14"/>
      <c r="T13" s="15">
        <f>IF('Dados tratados'!J348="","",ROUND('Dados tratados'!J348,1))</f>
        <v>6.1</v>
      </c>
      <c r="U13" s="15">
        <f>IF('Dados tratados'!J347="","",ROUND('Dados tratados'!J347,1))</f>
        <v>5.2</v>
      </c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>
      <c r="A14" s="4" t="s">
        <v>118</v>
      </c>
      <c r="B14" s="13">
        <v>2014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5">
        <f>IF('Dados tratados'!E395="","",'Dados tratados'!E395)</f>
        <v>3819081571</v>
      </c>
      <c r="R14" s="15">
        <f>IF('Dados tratados'!G395="","",'Dados tratados'!G395)</f>
        <v>7053232574.3218393</v>
      </c>
      <c r="S14" s="15">
        <f>IF('Dados tratados'!G396="","",'Dados tratados'!G396)</f>
        <v>26746.786296467155</v>
      </c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>
      <c r="A15" s="4" t="s">
        <v>118</v>
      </c>
      <c r="B15" s="13">
        <v>2015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5">
        <f>IF('Dados tratados'!E403="","",'Dados tratados'!E403)</f>
        <v>3921616173</v>
      </c>
      <c r="R15" s="15">
        <f>IF('Dados tratados'!G403="","",'Dados tratados'!G403)</f>
        <v>6642762682.2798052</v>
      </c>
      <c r="S15" s="15">
        <f>IF('Dados tratados'!G404="","",'Dados tratados'!G404)</f>
        <v>24970.728983518045</v>
      </c>
      <c r="T15" s="15">
        <f>IF('Dados tratados'!J402="","",ROUND('Dados tratados'!J402,1))</f>
        <v>4.9000000000000004</v>
      </c>
      <c r="U15" s="15">
        <f>IF('Dados tratados'!J401="","",ROUND('Dados tratados'!J401,1))</f>
        <v>4.3</v>
      </c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1:33">
      <c r="A16" s="4" t="s">
        <v>118</v>
      </c>
      <c r="B16" s="13">
        <v>2016</v>
      </c>
      <c r="C16" s="15">
        <f>IF('Dados tratados'!E414="","",'Dados tratados'!E414)</f>
        <v>268248</v>
      </c>
      <c r="D16" s="15">
        <f>IF('Dados tratados'!E417="","",'Dados tratados'!E417)</f>
        <v>539074379</v>
      </c>
      <c r="E16" s="15">
        <f>IF('Dados tratados'!G417="","",'Dados tratados'!G417)</f>
        <v>839743083.59863997</v>
      </c>
      <c r="F16" s="15">
        <f>IF('Dados tratados'!G418="","",'Dados tratados'!G418)</f>
        <v>792370319.94601595</v>
      </c>
      <c r="G16" s="15">
        <f>IF('Dados tratados'!G405="","",'Dados tratados'!G405)</f>
        <v>72342465.049609303</v>
      </c>
      <c r="H16" s="15">
        <f>IF('Dados tratados'!I417="","",'Dados tratados'!I417)</f>
        <v>3130.4728594384301</v>
      </c>
      <c r="I16" s="15">
        <f>IF('Dados tratados'!G419="","",'Dados tratados'!G419)</f>
        <v>285227773.39154518</v>
      </c>
      <c r="J16" s="15">
        <f>IF('Dados tratados'!G420="","",'Dados tratados'!G420)</f>
        <v>110332404.94325893</v>
      </c>
      <c r="K16" s="15">
        <f>IF('Dados tratados'!G408="","",'Dados tratados'!G408)</f>
        <v>725104643.29341996</v>
      </c>
      <c r="L16" s="15">
        <f>IF('Dados tratados'!G409="","",'Dados tratados'!G409)</f>
        <v>717003756.43848014</v>
      </c>
      <c r="M16" s="15">
        <f>IF('Dados tratados'!G410="","",'Dados tratados'!G410)</f>
        <v>656335158.68014967</v>
      </c>
      <c r="N16" s="15">
        <f>IF('Dados tratados'!G411="","",'Dados tratados'!G411)</f>
        <v>359297617.7736873</v>
      </c>
      <c r="O16" s="15">
        <f>IF('Dados tratados'!G415="","",'Dados tratados'!G415)</f>
        <v>683148743.30988073</v>
      </c>
      <c r="P16" s="15">
        <f>IF('Dados tratados'!J406="","",'Dados tratados'!J406)</f>
        <v>52.59</v>
      </c>
      <c r="Q16" s="15">
        <f>IF('Dados tratados'!E412="","",'Dados tratados'!E412)</f>
        <v>4183987276</v>
      </c>
      <c r="R16" s="15">
        <f>IF('Dados tratados'!G412="","",'Dados tratados'!G412)</f>
        <v>6517605944.1061172</v>
      </c>
      <c r="S16" s="15">
        <f>IF('Dados tratados'!G413="","",'Dados tratados'!G413)</f>
        <v>24296.94243863599</v>
      </c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spans="1:33">
      <c r="A17" s="4" t="s">
        <v>118</v>
      </c>
      <c r="B17" s="13">
        <v>2017</v>
      </c>
      <c r="C17" s="15">
        <f>IF('Dados tratados'!E436="","",'Dados tratados'!E436)</f>
        <v>270383</v>
      </c>
      <c r="D17" s="15">
        <f>IF('Dados tratados'!E439="","",'Dados tratados'!E439)</f>
        <v>672950288.23000002</v>
      </c>
      <c r="E17" s="15">
        <f>IF('Dados tratados'!G439="","",'Dados tratados'!G439)</f>
        <v>1013363967.9465544</v>
      </c>
      <c r="F17" s="15">
        <f>IF('Dados tratados'!G440="","",'Dados tratados'!G440)</f>
        <v>967153377.77551115</v>
      </c>
      <c r="G17" s="15">
        <f>IF('Dados tratados'!G421="","",'Dados tratados'!G421)</f>
        <v>98386674.82972762</v>
      </c>
      <c r="H17" s="15">
        <f>IF('Dados tratados'!I439="","",'Dados tratados'!I439)</f>
        <v>3747.8834392197527</v>
      </c>
      <c r="I17" s="15">
        <f>IF('Dados tratados'!G441="","",'Dados tratados'!G441)</f>
        <v>270735592.02557099</v>
      </c>
      <c r="J17" s="15">
        <f>IF('Dados tratados'!G442="","",'Dados tratados'!G442)</f>
        <v>115117582.52639385</v>
      </c>
      <c r="K17" s="15">
        <f>IF('Dados tratados'!G424="","",'Dados tratados'!G424)</f>
        <v>787123095.07585657</v>
      </c>
      <c r="L17" s="15">
        <f>IF('Dados tratados'!G425="","",'Dados tratados'!G425)</f>
        <v>756320534.29391038</v>
      </c>
      <c r="M17" s="15">
        <f>IF('Dados tratados'!G426="","",'Dados tratados'!G426)</f>
        <v>726569170.53935564</v>
      </c>
      <c r="N17" s="15">
        <f>IF('Dados tratados'!G427="","",'Dados tratados'!G427)</f>
        <v>359778833.92308688</v>
      </c>
      <c r="O17" s="15">
        <f>IF('Dados tratados'!G437="","",'Dados tratados'!G437)</f>
        <v>881700133.89730549</v>
      </c>
      <c r="P17" s="15">
        <f>IF('Dados tratados'!J422="","",'Dados tratados'!J422)</f>
        <v>40.81</v>
      </c>
      <c r="Q17" s="15">
        <f>IF('Dados tratados'!E434="","",'Dados tratados'!E434)</f>
        <v>4428413505</v>
      </c>
      <c r="R17" s="15">
        <f>IF('Dados tratados'!G434="","",'Dados tratados'!G434)</f>
        <v>6668538166.3751431</v>
      </c>
      <c r="S17" s="15">
        <f>IF('Dados tratados'!G435="","",'Dados tratados'!G435)</f>
        <v>24663.306289492946</v>
      </c>
      <c r="T17" s="15">
        <f>IF('Dados tratados'!J433="","",ROUND('Dados tratados'!J433,1))</f>
        <v>5</v>
      </c>
      <c r="U17" s="15">
        <f>IF('Dados tratados'!J432="","",ROUND('Dados tratados'!J432,1))</f>
        <v>4.3</v>
      </c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spans="1:33">
      <c r="A18" s="4" t="s">
        <v>118</v>
      </c>
      <c r="B18" s="13">
        <v>2018</v>
      </c>
      <c r="C18" s="15">
        <f>IF('Dados tratados'!E452="","",'Dados tratados'!E452)</f>
        <v>271926</v>
      </c>
      <c r="D18" s="15">
        <f>IF('Dados tratados'!E455="","",'Dados tratados'!E455)</f>
        <v>582217089.00999999</v>
      </c>
      <c r="E18" s="15">
        <f>IF('Dados tratados'!G455="","",'Dados tratados'!G455)</f>
        <v>845738105.04613256</v>
      </c>
      <c r="F18" s="15">
        <f>IF('Dados tratados'!G456="","",'Dados tratados'!G456)</f>
        <v>798331042.48561215</v>
      </c>
      <c r="G18" s="15">
        <f>IF('Dados tratados'!G443="","",'Dados tratados'!G443)</f>
        <v>105848529.15334885</v>
      </c>
      <c r="H18" s="15">
        <f>IF('Dados tratados'!I455="","",'Dados tratados'!I455)</f>
        <v>3110.177419761746</v>
      </c>
      <c r="I18" s="15">
        <f>IF('Dados tratados'!G457="","",'Dados tratados'!G457)</f>
        <v>311415066.60418415</v>
      </c>
      <c r="J18" s="15">
        <f>IF('Dados tratados'!G458="","",'Dados tratados'!G458)</f>
        <v>115356267.99940108</v>
      </c>
      <c r="K18" s="15">
        <f>IF('Dados tratados'!G446="","",'Dados tratados'!G446)</f>
        <v>801408739.83041096</v>
      </c>
      <c r="L18" s="15">
        <f>IF('Dados tratados'!G447="","",'Dados tratados'!G447)</f>
        <v>768497538.27640438</v>
      </c>
      <c r="M18" s="15">
        <f>IF('Dados tratados'!G448="","",'Dados tratados'!G448)</f>
        <v>730196746.28908718</v>
      </c>
      <c r="N18" s="15">
        <f>IF('Dados tratados'!G449="","",'Dados tratados'!G449)</f>
        <v>387492138.98388261</v>
      </c>
      <c r="O18" s="15">
        <f>IF('Dados tratados'!G453="","",'Dados tratados'!G453)</f>
        <v>718882677.30905962</v>
      </c>
      <c r="P18" s="15">
        <f>IF('Dados tratados'!J444="","",'Dados tratados'!J444)</f>
        <v>53.9</v>
      </c>
      <c r="Q18" s="15">
        <f>IF('Dados tratados'!E450="","",'Dados tratados'!E450)</f>
        <v>4815934956</v>
      </c>
      <c r="R18" s="15">
        <f>IF('Dados tratados'!G450="","",'Dados tratados'!G450)</f>
        <v>6995706207.5223846</v>
      </c>
      <c r="S18" s="15">
        <f>IF('Dados tratados'!G451="","",'Dados tratados'!G451)</f>
        <v>25726.505048768951</v>
      </c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1:33">
      <c r="A19" s="4" t="s">
        <v>118</v>
      </c>
      <c r="B19" s="13">
        <v>2019</v>
      </c>
      <c r="C19" s="15">
        <f>IF('Dados tratados'!E474="","",'Dados tratados'!E474)</f>
        <v>274207</v>
      </c>
      <c r="D19" s="15">
        <f>IF('Dados tratados'!E477="","",'Dados tratados'!E477)</f>
        <v>631746512.92999995</v>
      </c>
      <c r="E19" s="15">
        <f>IF('Dados tratados'!G477="","",'Dados tratados'!G477)</f>
        <v>884661168.65284491</v>
      </c>
      <c r="F19" s="15">
        <f>IF('Dados tratados'!G478="","",'Dados tratados'!G478)</f>
        <v>835845208.34025693</v>
      </c>
      <c r="G19" s="15">
        <f>IF('Dados tratados'!G459="","",'Dados tratados'!G459)</f>
        <v>111379519.60204592</v>
      </c>
      <c r="H19" s="15">
        <f>IF('Dados tratados'!I477="","",'Dados tratados'!I477)</f>
        <v>3226.2530447904132</v>
      </c>
      <c r="I19" s="15">
        <f>IF('Dados tratados'!G479="","",'Dados tratados'!G479)</f>
        <v>325484157.62597507</v>
      </c>
      <c r="J19" s="15">
        <f>IF('Dados tratados'!G480="","",'Dados tratados'!G480)</f>
        <v>115454361.1454002</v>
      </c>
      <c r="K19" s="15">
        <f>IF('Dados tratados'!G462="","",'Dados tratados'!G462)</f>
        <v>830258524.92927384</v>
      </c>
      <c r="L19" s="15">
        <f>IF('Dados tratados'!G463="","",'Dados tratados'!G463)</f>
        <v>785059177.95027184</v>
      </c>
      <c r="M19" s="15">
        <f>IF('Dados tratados'!G464="","",'Dados tratados'!G464)</f>
        <v>730961577.41586566</v>
      </c>
      <c r="N19" s="15">
        <f>IF('Dados tratados'!G465="","",'Dados tratados'!G465)</f>
        <v>400912740.22907084</v>
      </c>
      <c r="O19" s="15">
        <f>IF('Dados tratados'!G475="","",'Dados tratados'!G475)</f>
        <v>756896482.74741006</v>
      </c>
      <c r="P19" s="15">
        <f>IF('Dados tratados'!J460="","",'Dados tratados'!J460)</f>
        <v>52.97</v>
      </c>
      <c r="Q19" s="15">
        <f>IF('Dados tratados'!E472="","",'Dados tratados'!E472)</f>
        <v>4868984226</v>
      </c>
      <c r="R19" s="15">
        <f>IF('Dados tratados'!G472="","",'Dados tratados'!G472)</f>
        <v>6818243056.9311352</v>
      </c>
      <c r="S19" s="15">
        <f>IF('Dados tratados'!G473="","",'Dados tratados'!G473)</f>
        <v>24865.312567291807</v>
      </c>
      <c r="T19" s="15">
        <f>IF('Dados tratados'!J471="","",ROUND('Dados tratados'!J471,1))</f>
        <v>5.5</v>
      </c>
      <c r="U19" s="15">
        <f>IF('Dados tratados'!J470="","",ROUND('Dados tratados'!J470,1))</f>
        <v>4.8</v>
      </c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1:33">
      <c r="A20" s="4" t="s">
        <v>118</v>
      </c>
      <c r="B20" s="13">
        <v>2020</v>
      </c>
      <c r="C20" s="15">
        <f>IF('Dados tratados'!E490="","",'Dados tratados'!E490)</f>
        <v>276264</v>
      </c>
      <c r="D20" s="15">
        <f>IF('Dados tratados'!E493="","",'Dados tratados'!E493)</f>
        <v>655184732.33000004</v>
      </c>
      <c r="E20" s="15">
        <f>IF('Dados tratados'!G493="","",'Dados tratados'!G493)</f>
        <v>888932249.56199884</v>
      </c>
      <c r="F20" s="15">
        <f>IF('Dados tratados'!G494="","",'Dados tratados'!G494)</f>
        <v>843227375.95962322</v>
      </c>
      <c r="G20" s="15">
        <f>IF('Dados tratados'!G481="","",'Dados tratados'!G481)</f>
        <v>112551691.22586042</v>
      </c>
      <c r="H20" s="15">
        <f>IF('Dados tratados'!I493="","",'Dados tratados'!I493)</f>
        <v>3217.6912285422595</v>
      </c>
      <c r="I20" s="15">
        <f>IF('Dados tratados'!G495="","",'Dados tratados'!G495)</f>
        <v>389466133.65991068</v>
      </c>
      <c r="J20" s="15">
        <f>IF('Dados tratados'!G496="","",'Dados tratados'!G496)</f>
        <v>112229901.64964753</v>
      </c>
      <c r="K20" s="15">
        <f>IF('Dados tratados'!G484="","",'Dados tratados'!G484)</f>
        <v>913881846.64235604</v>
      </c>
      <c r="L20" s="15">
        <f>IF('Dados tratados'!G485="","",'Dados tratados'!G485)</f>
        <v>899944650.49406326</v>
      </c>
      <c r="M20" s="15">
        <f>IF('Dados tratados'!G486="","",'Dados tratados'!G486)</f>
        <v>825611054.5483923</v>
      </c>
      <c r="N20" s="15">
        <f>IF('Dados tratados'!G487="","",'Dados tratados'!G487)</f>
        <v>451834815.39598143</v>
      </c>
      <c r="O20" s="15">
        <f>IF('Dados tratados'!G491="","",'Dados tratados'!G491)</f>
        <v>758765539.97636712</v>
      </c>
      <c r="P20" s="15">
        <f>IF('Dados tratados'!J482="","",'Dados tratados'!J482)</f>
        <v>60.24</v>
      </c>
      <c r="Q20" s="15">
        <f>IF('Dados tratados'!E488="","",'Dados tratados'!E488)</f>
        <v>4827915153</v>
      </c>
      <c r="R20" s="15">
        <f>IF('Dados tratados'!G488="","",'Dados tratados'!G488)</f>
        <v>6550350253.7191839</v>
      </c>
      <c r="S20" s="15">
        <f>IF('Dados tratados'!G489="","",'Dados tratados'!G489)</f>
        <v>23710.473115563462</v>
      </c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3">
      <c r="A21" s="4" t="s">
        <v>118</v>
      </c>
      <c r="B21" s="13">
        <v>2021</v>
      </c>
      <c r="C21" s="15">
        <f>IF('Dados tratados'!E512="","",'Dados tratados'!E512)</f>
        <v>278264</v>
      </c>
      <c r="D21" s="15">
        <f>IF('Dados tratados'!E515="","",'Dados tratados'!E515)</f>
        <v>761667224.14999998</v>
      </c>
      <c r="E21" s="15">
        <f>IF('Dados tratados'!G515="","",'Dados tratados'!G515)</f>
        <v>954190413.19484639</v>
      </c>
      <c r="F21" s="15">
        <f>IF('Dados tratados'!G516="","",'Dados tratados'!G516)</f>
        <v>900416366.71748722</v>
      </c>
      <c r="G21" s="15">
        <f>IF('Dados tratados'!G497="","",'Dados tratados'!G497)</f>
        <v>133146726.25600439</v>
      </c>
      <c r="H21" s="15">
        <f>IF('Dados tratados'!I515="","",'Dados tratados'!I515)</f>
        <v>3429.0832202327515</v>
      </c>
      <c r="I21" s="15">
        <f>IF('Dados tratados'!G517="","",'Dados tratados'!G517)</f>
        <v>367702094.06590801</v>
      </c>
      <c r="J21" s="15">
        <f>IF('Dados tratados'!G518="","",'Dados tratados'!G518)</f>
        <v>124671559.51980697</v>
      </c>
      <c r="K21" s="15">
        <f>IF('Dados tratados'!G500="","",'Dados tratados'!G500)</f>
        <v>824778029.30463278</v>
      </c>
      <c r="L21" s="15">
        <f>IF('Dados tratados'!G501="","",'Dados tratados'!G501)</f>
        <v>811321048.0728904</v>
      </c>
      <c r="M21" s="15">
        <f>IF('Dados tratados'!G502="","",'Dados tratados'!G502)</f>
        <v>745483129.15013313</v>
      </c>
      <c r="N21" s="15">
        <f>IF('Dados tratados'!G503="","",'Dados tratados'!G503)</f>
        <v>416570496.80778724</v>
      </c>
      <c r="O21" s="15">
        <f>IF('Dados tratados'!G513="","",'Dados tratados'!G513)</f>
        <v>785086929.30733359</v>
      </c>
      <c r="P21" s="15">
        <f>IF('Dados tratados'!J498="","",'Dados tratados'!J498)</f>
        <v>53.21</v>
      </c>
      <c r="Q21" s="15">
        <f>IF('Dados tratados'!E510="","",'Dados tratados'!E510)</f>
        <v>5114785978</v>
      </c>
      <c r="R21" s="15">
        <f>IF('Dados tratados'!G510="","",'Dados tratados'!G510)</f>
        <v>6407627361.4077454</v>
      </c>
      <c r="S21" s="15">
        <f>IF('Dados tratados'!G511="","",'Dados tratados'!G511)</f>
        <v>23027.157635583371</v>
      </c>
      <c r="T21" s="15">
        <f>IF('Dados tratados'!J509="","",ROUND('Dados tratados'!J509,1))</f>
        <v>5.4</v>
      </c>
      <c r="U21" s="15">
        <f>IF('Dados tratados'!J508="","",ROUND('Dados tratados'!J508,1))</f>
        <v>5</v>
      </c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3">
      <c r="A22" s="4" t="s">
        <v>118</v>
      </c>
      <c r="B22" s="13">
        <v>2022</v>
      </c>
      <c r="C22" s="15">
        <f>IF('Dados tratados'!E528="","",'Dados tratados'!E528)</f>
        <v>286120</v>
      </c>
      <c r="D22" s="15">
        <f>IF('Dados tratados'!E531="","",'Dados tratados'!E531)</f>
        <v>956209779.94000006</v>
      </c>
      <c r="E22" s="15">
        <f>IF('Dados tratados'!G531="","",'Dados tratados'!G531)</f>
        <v>1096179951.0164955</v>
      </c>
      <c r="F22" s="15">
        <f>IF('Dados tratados'!G532="","",'Dados tratados'!G532)</f>
        <v>1038375487.2182548</v>
      </c>
      <c r="G22" s="15">
        <f>IF('Dados tratados'!G519="","",'Dados tratados'!G519)</f>
        <v>160755804.60584104</v>
      </c>
      <c r="H22" s="15">
        <f>IF('Dados tratados'!I531="","",'Dados tratados'!I531)</f>
        <v>3831.1895394117696</v>
      </c>
      <c r="I22" s="15">
        <f>IF('Dados tratados'!G533="","",'Dados tratados'!G533)</f>
        <v>422608210.35254133</v>
      </c>
      <c r="J22" s="15">
        <f>IF('Dados tratados'!G534="","",'Dados tratados'!G534)</f>
        <v>122128559.36001837</v>
      </c>
      <c r="K22" s="15">
        <f>IF('Dados tratados'!G522="","",'Dados tratados'!G522)</f>
        <v>952251995.50001931</v>
      </c>
      <c r="L22" s="15">
        <f>IF('Dados tratados'!G523="","",'Dados tratados'!G523)</f>
        <v>941920290.48338306</v>
      </c>
      <c r="M22" s="15">
        <f>IF('Dados tratados'!G524="","",'Dados tratados'!G524)</f>
        <v>901763300.93900764</v>
      </c>
      <c r="N22" s="15">
        <f>IF('Dados tratados'!G525="","",'Dados tratados'!G525)</f>
        <v>479904827.5767445</v>
      </c>
      <c r="O22" s="15">
        <f>IF('Dados tratados'!G529="","",'Dados tratados'!G529)</f>
        <v>891205103.73072338</v>
      </c>
      <c r="P22" s="15">
        <f>IF('Dados tratados'!J520="","",'Dados tratados'!J520)</f>
        <v>53.88</v>
      </c>
      <c r="Q22" s="15">
        <f>IF('Dados tratados'!E526="","",'Dados tratados'!E526)</f>
        <v>5783730209</v>
      </c>
      <c r="R22" s="15">
        <f>IF('Dados tratados'!G526="","",'Dados tratados'!G526)</f>
        <v>6630353746.8441982</v>
      </c>
      <c r="S22" s="15">
        <f>IF('Dados tratados'!G527="","",'Dados tratados'!G527)</f>
        <v>23173.330431969323</v>
      </c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1:33">
      <c r="A23" s="4" t="s">
        <v>118</v>
      </c>
      <c r="B23" s="13">
        <v>2023</v>
      </c>
      <c r="C23" s="15" t="str">
        <f>IF('Dados tratados'!E550="","",'Dados tratados'!E550)</f>
        <v/>
      </c>
      <c r="D23" s="15">
        <f>IF('Dados tratados'!E553="","",'Dados tratados'!E553)</f>
        <v>1005175941.84</v>
      </c>
      <c r="E23" s="15">
        <f>IF('Dados tratados'!G553="","",'Dados tratados'!G553)</f>
        <v>1101706221.6758947</v>
      </c>
      <c r="F23" s="15">
        <f>IF('Dados tratados'!G554="","",'Dados tratados'!G554)</f>
        <v>1044280573.1692669</v>
      </c>
      <c r="G23" s="15">
        <f>IF('Dados tratados'!G535="","",'Dados tratados'!G535)</f>
        <v>175930537.95549819</v>
      </c>
      <c r="H23" s="15" t="str">
        <f>IF('Dados tratados'!I553="","",'Dados tratados'!I553)</f>
        <v/>
      </c>
      <c r="I23" s="15">
        <f>IF('Dados tratados'!G555="","",'Dados tratados'!G555)</f>
        <v>430722900.37021977</v>
      </c>
      <c r="J23" s="15">
        <f>IF('Dados tratados'!G556="","",'Dados tratados'!G556)</f>
        <v>125277131.23941649</v>
      </c>
      <c r="K23" s="15">
        <f>IF('Dados tratados'!G538="","",'Dados tratados'!G538)</f>
        <v>1001559134.0777915</v>
      </c>
      <c r="L23" s="15">
        <f>IF('Dados tratados'!G539="","",'Dados tratados'!G539)</f>
        <v>987377284.55860472</v>
      </c>
      <c r="M23" s="15">
        <f>IF('Dados tratados'!G540="","",'Dados tratados'!G540)</f>
        <v>943302987.58693457</v>
      </c>
      <c r="N23" s="15">
        <f>IF('Dados tratados'!G541="","",'Dados tratados'!G541)</f>
        <v>457712232.55604571</v>
      </c>
      <c r="O23" s="15">
        <f>IF('Dados tratados'!G551="","",'Dados tratados'!G551)</f>
        <v>880296706.07249784</v>
      </c>
      <c r="P23" s="15">
        <f>IF('Dados tratados'!J536="","",'Dados tratados'!J536)</f>
        <v>53.78</v>
      </c>
      <c r="Q23" s="15">
        <f>IF('Dados tratados'!E548="","",'Dados tratados'!E548)</f>
        <v>6457542671</v>
      </c>
      <c r="R23" s="15">
        <f>IF('Dados tratados'!G548="","",'Dados tratados'!G548)</f>
        <v>7077681270.75877</v>
      </c>
      <c r="S23" s="15">
        <f>IF('Dados tratados'!G549="","",'Dados tratados'!G549)</f>
        <v>24736.757297100859</v>
      </c>
      <c r="T23" s="15">
        <f>IF('Dados tratados'!J547="","",ROUND('Dados tratados'!J547,1))</f>
        <v>5.5</v>
      </c>
      <c r="U23" s="15">
        <f>IF('Dados tratados'!J546="","",ROUND('Dados tratados'!J546,1))</f>
        <v>4.9000000000000004</v>
      </c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1:33">
      <c r="A24" s="4" t="s">
        <v>118</v>
      </c>
      <c r="B24" s="13">
        <v>2024</v>
      </c>
      <c r="C24" s="15">
        <f>IF('Dados tratados'!E564="","",'Dados tratados'!E564)</f>
        <v>303004</v>
      </c>
      <c r="D24" s="15">
        <f>IF('Dados tratados'!E567="","",'Dados tratados'!E567)</f>
        <v>1180637948.7</v>
      </c>
      <c r="E24" s="15">
        <f>IF('Dados tratados'!G567="","",'Dados tratados'!G567)</f>
        <v>1239867636.0026166</v>
      </c>
      <c r="F24" s="15">
        <f>IF('Dados tratados'!G568="","",'Dados tratados'!G568)</f>
        <v>1177918761.0216856</v>
      </c>
      <c r="G24" s="15">
        <f>IF('Dados tratados'!G557="","",'Dados tratados'!G557)</f>
        <v>184102319.83504495</v>
      </c>
      <c r="H24" s="15">
        <f>IF('Dados tratados'!I567="","",'Dados tratados'!I567)</f>
        <v>4091.9183773237864</v>
      </c>
      <c r="I24" s="15">
        <f>IF('Dados tratados'!G569="","",'Dados tratados'!G569)</f>
        <v>502720486.30517817</v>
      </c>
      <c r="J24" s="15">
        <f>IF('Dados tratados'!G570="","",'Dados tratados'!G570)</f>
        <v>130908475.09519289</v>
      </c>
      <c r="K24" s="15">
        <f>IF('Dados tratados'!G560="","",'Dados tratados'!G560)</f>
        <v>1151960201.8393881</v>
      </c>
      <c r="L24" s="15">
        <f>IF('Dados tratados'!G561="","",'Dados tratados'!G561)</f>
        <v>1137151200.0265775</v>
      </c>
      <c r="M24" s="15">
        <f>IF('Dados tratados'!G562="","",'Dados tratados'!G562)</f>
        <v>1098317045.0755417</v>
      </c>
      <c r="N24" s="15">
        <f>IF('Dados tratados'!G563="","",'Dados tratados'!G563)</f>
        <v>476638725.21759862</v>
      </c>
      <c r="O24" s="15">
        <f>IF('Dados tratados'!G565="","",'Dados tratados'!G565)</f>
        <v>1008237356.9185247</v>
      </c>
      <c r="P24" s="15">
        <f>IF('Dados tratados'!J558="","",'Dados tratados'!J558)</f>
        <v>48.8</v>
      </c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3">
      <c r="A25" s="4" t="s">
        <v>118</v>
      </c>
      <c r="B25" s="13">
        <v>2025</v>
      </c>
      <c r="C25" s="15">
        <f>IF('Dados tratados'!E584="","",'Dados tratados'!E584)</f>
        <v>305531</v>
      </c>
      <c r="D25" s="15">
        <f>IF('Dados tratados'!E587="","",'Dados tratados'!E587)</f>
        <v>1311416056.78</v>
      </c>
      <c r="E25" s="15">
        <f>IF('Dados tratados'!G587="","",'Dados tratados'!G587)</f>
        <v>1311416056.78</v>
      </c>
      <c r="F25" s="15">
        <f>IF('Dados tratados'!G588="","",'Dados tratados'!G588)</f>
        <v>1247858015.28</v>
      </c>
      <c r="G25" s="15">
        <f>IF('Dados tratados'!G571="","",'Dados tratados'!G571)</f>
        <v>213172043.22</v>
      </c>
      <c r="H25" s="15">
        <f>IF('Dados tratados'!I587="","",'Dados tratados'!I587)</f>
        <v>4292.2520358981574</v>
      </c>
      <c r="I25" s="15">
        <f>IF('Dados tratados'!G589="","",'Dados tratados'!G589)</f>
        <v>530160493.88999999</v>
      </c>
      <c r="J25" s="15">
        <f>IF('Dados tratados'!G590="","",'Dados tratados'!G590)</f>
        <v>134075846.31</v>
      </c>
      <c r="K25" s="15">
        <f>IF('Dados tratados'!G574="","",'Dados tratados'!G574)</f>
        <v>1169395792.1600001</v>
      </c>
      <c r="L25" s="15">
        <f>IF('Dados tratados'!G575="","",'Dados tratados'!G575)</f>
        <v>1146755820.26</v>
      </c>
      <c r="M25" s="15">
        <f>IF('Dados tratados'!G576="","",'Dados tratados'!G576)</f>
        <v>1110340373.3</v>
      </c>
      <c r="N25" s="15">
        <f>IF('Dados tratados'!G577="","",'Dados tratados'!G577)</f>
        <v>492042770.63999999</v>
      </c>
      <c r="O25" s="15">
        <f>IF('Dados tratados'!G585="","",'Dados tratados'!G585)</f>
        <v>1048459378.9400001</v>
      </c>
      <c r="P25" s="15">
        <f>IF('Dados tratados'!J572="","",'Dados tratados'!J572)</f>
        <v>48.18</v>
      </c>
      <c r="Q25" s="14"/>
      <c r="R25" s="14"/>
      <c r="S25" s="14"/>
      <c r="T25" s="15">
        <f>IF('Dados tratados'!J583="","",ROUND('Dados tratados'!J583,1))</f>
        <v>5.6</v>
      </c>
      <c r="U25" s="15">
        <f>IF('Dados tratados'!J582="","",ROUND('Dados tratados'!J582,1))</f>
        <v>4.9000000000000004</v>
      </c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33">
      <c r="A26" s="4" t="s">
        <v>119</v>
      </c>
      <c r="B26" s="13">
        <v>2014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3">
      <c r="A27" s="4" t="s">
        <v>119</v>
      </c>
      <c r="B27" s="13">
        <v>2015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>
      <c r="A28" s="4" t="s">
        <v>119</v>
      </c>
      <c r="B28" s="13">
        <v>2016</v>
      </c>
      <c r="C28" s="15">
        <f>IF('Dados tratados'!E10="","",'Dados tratados'!E10)</f>
        <v>43590000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5">
        <f>IF('Dados tratados'!E2="","",'Dados tratados'!E2)</f>
        <v>2273047441342.7202</v>
      </c>
      <c r="W28" s="15">
        <f>IF('Dados tratados'!G2="","",'Dados tratados'!G2)</f>
        <v>226814699733525.81</v>
      </c>
      <c r="X28" s="15">
        <f>IF('Dados tratados'!I2="","",'Dados tratados'!I2)</f>
        <v>5203365.4446782703</v>
      </c>
      <c r="Y28" s="15">
        <f>IF('Dados tratados'!J11="","",'Dados tratados'!J11)</f>
        <v>1120751.4203780401</v>
      </c>
      <c r="Z28" s="15">
        <f>IF('Dados tratados'!J6="","",'Dados tratados'!J6)</f>
        <v>41.522020677074998</v>
      </c>
      <c r="AA28" s="15">
        <f>IF('Dados tratados'!J9="","",'Dados tratados'!J9)</f>
        <v>-6.6546689825751999</v>
      </c>
      <c r="AB28" s="15">
        <f>IF('Dados tratados'!J7="","",'Dados tratados'!J7)</f>
        <v>53.1</v>
      </c>
      <c r="AC28" s="15">
        <f>IF('Dados tratados'!J5="","",'Dados tratados'!J5)</f>
        <v>-2.1</v>
      </c>
      <c r="AD28" s="15">
        <f>IF('Dados tratados'!J4="","",'Dados tratados'!J4)</f>
        <v>556.774</v>
      </c>
      <c r="AE28" s="15" t="str">
        <f>IF('Dados tratados'!J3="","",'Dados tratados'!J3)</f>
        <v/>
      </c>
      <c r="AF28" s="15" t="str">
        <f>IF('Dados tratados'!D13="","",'Dados tratados'!D13)</f>
        <v/>
      </c>
      <c r="AG28" s="15" t="str">
        <f>IF('Dados tratados'!D12="","",'Dados tratados'!D12)</f>
        <v/>
      </c>
    </row>
    <row r="29" spans="1:33">
      <c r="A29" s="4" t="s">
        <v>119</v>
      </c>
      <c r="B29" s="13">
        <v>2017</v>
      </c>
      <c r="C29" s="15">
        <f>IF('Dados tratados'!E22="","",'Dados tratados'!E22)</f>
        <v>44045000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5">
        <f>IF('Dados tratados'!E14="","",'Dados tratados'!E14)</f>
        <v>2842216743285.21</v>
      </c>
      <c r="W29" s="15">
        <f>IF('Dados tratados'!G14="","",'Dados tratados'!G14)</f>
        <v>225623646136045.78</v>
      </c>
      <c r="X29" s="15">
        <f>IF('Dados tratados'!I14="","",'Dados tratados'!I14)</f>
        <v>5122571.1462378427</v>
      </c>
      <c r="Y29" s="15">
        <f>IF('Dados tratados'!J23="","",'Dados tratados'!J23)</f>
        <v>1457199.8249073001</v>
      </c>
      <c r="Z29" s="15">
        <f>IF('Dados tratados'!J18="","",'Dados tratados'!J18)</f>
        <v>41.121454021199</v>
      </c>
      <c r="AA29" s="15">
        <f>IF('Dados tratados'!J21="","",'Dados tratados'!J21)</f>
        <v>-6.6933411315782996</v>
      </c>
      <c r="AB29" s="15">
        <f>IF('Dados tratados'!J19="","",'Dados tratados'!J19)</f>
        <v>57</v>
      </c>
      <c r="AC29" s="15">
        <f>IF('Dados tratados'!J17="","",'Dados tratados'!J17)</f>
        <v>2.8</v>
      </c>
      <c r="AD29" s="15">
        <f>IF('Dados tratados'!J16="","",'Dados tratados'!J16)</f>
        <v>643.86099999999999</v>
      </c>
      <c r="AE29" s="15">
        <f>IF('Dados tratados'!J15="","",'Dados tratados'!J15)</f>
        <v>25.7</v>
      </c>
      <c r="AF29" s="15" t="str">
        <f>IF('Dados tratados'!D25="","",'Dados tratados'!D25)</f>
        <v/>
      </c>
      <c r="AG29" s="15" t="str">
        <f>IF('Dados tratados'!D24="","",'Dados tratados'!D24)</f>
        <v/>
      </c>
    </row>
    <row r="30" spans="1:33">
      <c r="A30" s="4" t="s">
        <v>119</v>
      </c>
      <c r="B30" s="13">
        <v>2018</v>
      </c>
      <c r="C30" s="15">
        <f>IF('Dados tratados'!E34="","",'Dados tratados'!E34)</f>
        <v>44495000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5">
        <f>IF('Dados tratados'!E26="","",'Dados tratados'!E26)</f>
        <v>3713409148368.4399</v>
      </c>
      <c r="W30" s="15">
        <f>IF('Dados tratados'!G26="","",'Dados tratados'!G26)</f>
        <v>219494786934247</v>
      </c>
      <c r="X30" s="15">
        <f>IF('Dados tratados'!I26="","",'Dados tratados'!I26)</f>
        <v>4933021.3941846723</v>
      </c>
      <c r="Y30" s="15">
        <f>IF('Dados tratados'!J35="","",'Dados tratados'!J35)</f>
        <v>1924313.7623585199</v>
      </c>
      <c r="Z30" s="15">
        <f>IF('Dados tratados'!J30="","",'Dados tratados'!J30)</f>
        <v>38.949208040045001</v>
      </c>
      <c r="AA30" s="15">
        <f>IF('Dados tratados'!J33="","",'Dados tratados'!J33)</f>
        <v>-5.4411455069360999</v>
      </c>
      <c r="AB30" s="15">
        <f>IF('Dados tratados'!J31="","",'Dados tratados'!J31)</f>
        <v>85.2</v>
      </c>
      <c r="AC30" s="15">
        <f>IF('Dados tratados'!J29="","",'Dados tratados'!J29)</f>
        <v>-2.6</v>
      </c>
      <c r="AD30" s="15">
        <f>IF('Dados tratados'!J28="","",'Dados tratados'!J28)</f>
        <v>524.43100000000004</v>
      </c>
      <c r="AE30" s="15">
        <f>IF('Dados tratados'!J27="","",'Dados tratados'!J27)</f>
        <v>34.299999999999997</v>
      </c>
      <c r="AF30" s="15" t="str">
        <f>IF('Dados tratados'!D37="","",'Dados tratados'!D37)</f>
        <v/>
      </c>
      <c r="AG30" s="15" t="str">
        <f>IF('Dados tratados'!D36="","",'Dados tratados'!D36)</f>
        <v/>
      </c>
    </row>
    <row r="31" spans="1:33">
      <c r="A31" s="4" t="s">
        <v>119</v>
      </c>
      <c r="B31" s="13">
        <v>2019</v>
      </c>
      <c r="C31" s="15">
        <f>IF('Dados tratados'!E46="","",'Dados tratados'!E46)</f>
        <v>44939000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5">
        <f>IF('Dados tratados'!E38="","",'Dados tratados'!E38)</f>
        <v>5473537926492.79</v>
      </c>
      <c r="W31" s="15">
        <f>IF('Dados tratados'!G38="","",'Dados tratados'!G38)</f>
        <v>210771147006548</v>
      </c>
      <c r="X31" s="15">
        <f>IF('Dados tratados'!I38="","",'Dados tratados'!I38)</f>
        <v>4690161.0406673048</v>
      </c>
      <c r="Y31" s="15">
        <f>IF('Dados tratados'!J47="","",'Dados tratados'!J47)</f>
        <v>2754645.57410804</v>
      </c>
      <c r="Z31" s="15">
        <f>IF('Dados tratados'!J42="","",'Dados tratados'!J42)</f>
        <v>38.129057624396999</v>
      </c>
      <c r="AA31" s="15">
        <f>IF('Dados tratados'!J45="","",'Dados tratados'!J45)</f>
        <v>-4.4447575128894004</v>
      </c>
      <c r="AB31" s="15">
        <f>IF('Dados tratados'!J43="","",'Dados tratados'!J43)</f>
        <v>89.8</v>
      </c>
      <c r="AC31" s="15">
        <f>IF('Dados tratados'!J41="","",'Dados tratados'!J41)</f>
        <v>-2</v>
      </c>
      <c r="AD31" s="15">
        <f>IF('Dados tratados'!J40="","",'Dados tratados'!J40)</f>
        <v>446.762</v>
      </c>
      <c r="AE31" s="15">
        <f>IF('Dados tratados'!J39="","",'Dados tratados'!J39)</f>
        <v>53.5</v>
      </c>
      <c r="AF31" s="15" t="str">
        <f>IF('Dados tratados'!D49="","",'Dados tratados'!D49)</f>
        <v/>
      </c>
      <c r="AG31" s="15" t="str">
        <f>IF('Dados tratados'!D48="","",'Dados tratados'!D48)</f>
        <v/>
      </c>
    </row>
    <row r="32" spans="1:33">
      <c r="A32" s="4" t="s">
        <v>119</v>
      </c>
      <c r="B32" s="13">
        <v>2020</v>
      </c>
      <c r="C32" s="15">
        <f>IF('Dados tratados'!E58="","",'Dados tratados'!E58)</f>
        <v>45377000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5">
        <f>IF('Dados tratados'!E50="","",'Dados tratados'!E50)</f>
        <v>7237410240280.2598</v>
      </c>
      <c r="W32" s="15">
        <f>IF('Dados tratados'!G50="","",'Dados tratados'!G50)</f>
        <v>196262747122039.25</v>
      </c>
      <c r="X32" s="15">
        <f>IF('Dados tratados'!I50="","",'Dados tratados'!I50)</f>
        <v>4325159.1582087679</v>
      </c>
      <c r="Y32" s="15">
        <f>IF('Dados tratados'!J59="","",'Dados tratados'!J59)</f>
        <v>3742115.7009005002</v>
      </c>
      <c r="Z32" s="15">
        <f>IF('Dados tratados'!J54="","",'Dados tratados'!J54)</f>
        <v>42.479239774996998</v>
      </c>
      <c r="AA32" s="15">
        <f>IF('Dados tratados'!J57="","",'Dados tratados'!J57)</f>
        <v>-8.6740711539257997</v>
      </c>
      <c r="AB32" s="15">
        <f>IF('Dados tratados'!J55="","",'Dados tratados'!J55)</f>
        <v>103.8</v>
      </c>
      <c r="AC32" s="15">
        <f>IF('Dados tratados'!J53="","",'Dados tratados'!J53)</f>
        <v>-9.9</v>
      </c>
      <c r="AD32" s="15">
        <f>IF('Dados tratados'!J52="","",'Dados tratados'!J52)</f>
        <v>385.21800000000002</v>
      </c>
      <c r="AE32" s="15">
        <f>IF('Dados tratados'!J51="","",'Dados tratados'!J51)</f>
        <v>42</v>
      </c>
      <c r="AF32" s="15" t="str">
        <f>IF('Dados tratados'!D61="","",'Dados tratados'!D61)</f>
        <v/>
      </c>
      <c r="AG32" s="15" t="str">
        <f>IF('Dados tratados'!D60="","",'Dados tratados'!D60)</f>
        <v/>
      </c>
    </row>
    <row r="33" spans="1:33">
      <c r="A33" s="4" t="s">
        <v>119</v>
      </c>
      <c r="B33" s="13">
        <v>2021</v>
      </c>
      <c r="C33" s="15">
        <f>IF('Dados tratados'!E70="","",'Dados tratados'!E70)</f>
        <v>45809000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5">
        <f>IF('Dados tratados'!E62="","",'Dados tratados'!E62)</f>
        <v>11906730771054</v>
      </c>
      <c r="W33" s="15">
        <f>IF('Dados tratados'!G62="","",'Dados tratados'!G62)</f>
        <v>217577165984021.97</v>
      </c>
      <c r="X33" s="15">
        <f>IF('Dados tratados'!I62="","",'Dados tratados'!I62)</f>
        <v>4749659.8044930464</v>
      </c>
      <c r="Y33" s="15">
        <f>IF('Dados tratados'!J71="","",'Dados tratados'!J71)</f>
        <v>6116121.6969644697</v>
      </c>
      <c r="Z33" s="15">
        <f>IF('Dados tratados'!J66="","",'Dados tratados'!J66)</f>
        <v>37.883365255393002</v>
      </c>
      <c r="AA33" s="15">
        <f>IF('Dados tratados'!J69="","",'Dados tratados'!J69)</f>
        <v>-4.3329520225764</v>
      </c>
      <c r="AB33" s="15">
        <f>IF('Dados tratados'!J67="","",'Dados tratados'!J67)</f>
        <v>81</v>
      </c>
      <c r="AC33" s="15">
        <f>IF('Dados tratados'!J65="","",'Dados tratados'!J65)</f>
        <v>10.4</v>
      </c>
      <c r="AD33" s="15">
        <f>IF('Dados tratados'!J64="","",'Dados tratados'!J64)</f>
        <v>486.04</v>
      </c>
      <c r="AE33" s="15">
        <f>IF('Dados tratados'!J63="","",'Dados tratados'!J63)</f>
        <v>48.4</v>
      </c>
      <c r="AF33" s="15" t="str">
        <f>IF('Dados tratados'!D73="","",'Dados tratados'!D73)</f>
        <v/>
      </c>
      <c r="AG33" s="15" t="str">
        <f>IF('Dados tratados'!D72="","",'Dados tratados'!D72)</f>
        <v/>
      </c>
    </row>
    <row r="34" spans="1:33">
      <c r="A34" s="4" t="s">
        <v>119</v>
      </c>
      <c r="B34" s="13">
        <v>2022</v>
      </c>
      <c r="C34" s="15">
        <f>IF('Dados tratados'!E82="","",'Dados tratados'!E82)</f>
        <v>46235000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5">
        <f>IF('Dados tratados'!E74="","",'Dados tratados'!E74)</f>
        <v>21540626249362.199</v>
      </c>
      <c r="W34" s="15">
        <f>IF('Dados tratados'!G74="","",'Dados tratados'!G74)</f>
        <v>228318890739604.81</v>
      </c>
      <c r="X34" s="15">
        <f>IF('Dados tratados'!I74="","",'Dados tratados'!I74)</f>
        <v>4938226.2515324932</v>
      </c>
      <c r="Y34" s="15">
        <f>IF('Dados tratados'!J83="","",'Dados tratados'!J83)</f>
        <v>11276056.768243499</v>
      </c>
      <c r="Z34" s="15">
        <f>IF('Dados tratados'!J78="","",'Dados tratados'!J78)</f>
        <v>37.643122855601</v>
      </c>
      <c r="AA34" s="15">
        <f>IF('Dados tratados'!J81="","",'Dados tratados'!J81)</f>
        <v>-3.8363851046833002</v>
      </c>
      <c r="AB34" s="15">
        <f>IF('Dados tratados'!J79="","",'Dados tratados'!J79)</f>
        <v>84.3</v>
      </c>
      <c r="AC34" s="15">
        <f>IF('Dados tratados'!J77="","",'Dados tratados'!J77)</f>
        <v>6</v>
      </c>
      <c r="AD34" s="15">
        <f>IF('Dados tratados'!J76="","",'Dados tratados'!J76)</f>
        <v>633.52</v>
      </c>
      <c r="AE34" s="15">
        <f>IF('Dados tratados'!J75="","",'Dados tratados'!J75)</f>
        <v>72.400000000000006</v>
      </c>
      <c r="AF34" s="15" t="str">
        <f>IF('Dados tratados'!D85="","",'Dados tratados'!D85)</f>
        <v/>
      </c>
      <c r="AG34" s="15" t="str">
        <f>IF('Dados tratados'!D84="","",'Dados tratados'!D84)</f>
        <v/>
      </c>
    </row>
    <row r="35" spans="1:33">
      <c r="A35" s="4" t="s">
        <v>119</v>
      </c>
      <c r="B35" s="13">
        <v>2023</v>
      </c>
      <c r="C35" s="15">
        <f>IF('Dados tratados'!E94="","",'Dados tratados'!E94)</f>
        <v>46655000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5">
        <f>IF('Dados tratados'!E86="","",'Dados tratados'!E86)</f>
        <v>46463191275416.602</v>
      </c>
      <c r="W35" s="15">
        <f>IF('Dados tratados'!G86="","",'Dados tratados'!G86)</f>
        <v>210914127674991.87</v>
      </c>
      <c r="X35" s="15">
        <f>IF('Dados tratados'!I86="","",'Dados tratados'!I86)</f>
        <v>4520718.6298358561</v>
      </c>
      <c r="Y35" s="15">
        <f>IF('Dados tratados'!J95="","",'Dados tratados'!J95)</f>
        <v>25030205.134151001</v>
      </c>
      <c r="Z35" s="15">
        <f>IF('Dados tratados'!J90="","",'Dados tratados'!J90)</f>
        <v>37.637348191849</v>
      </c>
      <c r="AA35" s="15">
        <f>IF('Dados tratados'!J93="","",'Dados tratados'!J93)</f>
        <v>-5.2809834443614001</v>
      </c>
      <c r="AB35" s="15">
        <f>IF('Dados tratados'!J91="","",'Dados tratados'!J91)</f>
        <v>153.4</v>
      </c>
      <c r="AC35" s="15">
        <f>IF('Dados tratados'!J89="","",'Dados tratados'!J89)</f>
        <v>-1.9</v>
      </c>
      <c r="AD35" s="15">
        <f>IF('Dados tratados'!J88="","",'Dados tratados'!J88)</f>
        <v>654.08100000000002</v>
      </c>
      <c r="AE35" s="15">
        <f>IF('Dados tratados'!J87="","",'Dados tratados'!J87)</f>
        <v>133.5</v>
      </c>
      <c r="AF35" s="15" t="str">
        <f>IF('Dados tratados'!D97="","",'Dados tratados'!D97)</f>
        <v/>
      </c>
      <c r="AG35" s="15" t="str">
        <f>IF('Dados tratados'!D96="","",'Dados tratados'!D96)</f>
        <v/>
      </c>
    </row>
    <row r="36" spans="1:33">
      <c r="A36" s="4" t="s">
        <v>119</v>
      </c>
      <c r="B36" s="13">
        <v>2024</v>
      </c>
      <c r="C36" s="15">
        <f>IF('Dados tratados'!E106="","",'Dados tratados'!E106)</f>
        <v>47068000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5">
        <f>IF('Dados tratados'!E98="","",'Dados tratados'!E98)</f>
        <v>142031453049165</v>
      </c>
      <c r="W36" s="15">
        <f>IF('Dados tratados'!G98="","",'Dados tratados'!G98)</f>
        <v>201542631876765.12</v>
      </c>
      <c r="X36" s="15">
        <f>IF('Dados tratados'!I98="","",'Dados tratados'!I98)</f>
        <v>4281945.9479214139</v>
      </c>
      <c r="Y36" s="15">
        <f>IF('Dados tratados'!J107="","",'Dados tratados'!J107)</f>
        <v>73874240.213494703</v>
      </c>
      <c r="Z36" s="15">
        <f>IF('Dados tratados'!J102="","",'Dados tratados'!J102)</f>
        <v>31.019181588171001</v>
      </c>
      <c r="AA36" s="15">
        <f>IF('Dados tratados'!J105="","",'Dados tratados'!J105)</f>
        <v>0.45837828974321998</v>
      </c>
      <c r="AB36" s="15">
        <f>IF('Dados tratados'!J103="","",'Dados tratados'!J103)</f>
        <v>84.6</v>
      </c>
      <c r="AC36" s="15">
        <f>IF('Dados tratados'!J101="","",'Dados tratados'!J101)</f>
        <v>-1.4</v>
      </c>
      <c r="AD36" s="15">
        <f>IF('Dados tratados'!J100="","",'Dados tratados'!J100)</f>
        <v>637.74400000000003</v>
      </c>
      <c r="AE36" s="15">
        <f>IF('Dados tratados'!J99="","",'Dados tratados'!J99)</f>
        <v>219.9</v>
      </c>
      <c r="AF36" s="15" t="str">
        <f>IF('Dados tratados'!D109="","",'Dados tratados'!D109)</f>
        <v/>
      </c>
      <c r="AG36" s="15" t="str">
        <f>IF('Dados tratados'!D108="","",'Dados tratados'!D108)</f>
        <v/>
      </c>
    </row>
    <row r="37" spans="1:33">
      <c r="A37" s="4" t="s">
        <v>119</v>
      </c>
      <c r="B37" s="13">
        <v>2025</v>
      </c>
      <c r="C37" s="15">
        <f>IF('Dados tratados'!E118="","",'Dados tratados'!E118)</f>
        <v>47474000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5">
        <f>IF('Dados tratados'!E110="","",'Dados tratados'!E110)</f>
        <v>200448446615565</v>
      </c>
      <c r="W37" s="15">
        <f>IF('Dados tratados'!G110="","",'Dados tratados'!G110)</f>
        <v>200448446615565</v>
      </c>
      <c r="X37" s="15">
        <f>IF('Dados tratados'!I110="","",'Dados tratados'!I110)</f>
        <v>4222278.4390522176</v>
      </c>
      <c r="Y37" s="15">
        <f>IF('Dados tratados'!J119="","",'Dados tratados'!J119)</f>
        <v>103974131.898352</v>
      </c>
      <c r="Z37" s="15" t="str">
        <f>IF('Dados tratados'!J114="","",'Dados tratados'!J114)</f>
        <v/>
      </c>
      <c r="AA37" s="15">
        <f>IF('Dados tratados'!J117="","",'Dados tratados'!J117)</f>
        <v>-0.15602148746002001</v>
      </c>
      <c r="AB37" s="15">
        <f>IF('Dados tratados'!J115="","",'Dados tratados'!J115)</f>
        <v>80.099999999999994</v>
      </c>
      <c r="AC37" s="15">
        <f>IF('Dados tratados'!J113="","",'Dados tratados'!J113)</f>
        <v>4.5</v>
      </c>
      <c r="AD37" s="15">
        <f>IF('Dados tratados'!J112="","",'Dados tratados'!J112)</f>
        <v>683.58900000000006</v>
      </c>
      <c r="AE37" s="15">
        <f>IF('Dados tratados'!J111="","",'Dados tratados'!J111)</f>
        <v>41.9</v>
      </c>
      <c r="AF37" s="15">
        <f>IF('Dados tratados'!D121="","",'Dados tratados'!D121)</f>
        <v>11769219</v>
      </c>
      <c r="AG37" s="15">
        <f>IF('Dados tratados'!D120="","",'Dados tratados'!D120)</f>
        <v>1453819</v>
      </c>
    </row>
  </sheetData>
  <autoFilter ref="A1:AG37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2.75"/>
  <cols>
    <col min="1" max="1" width="22" customWidth="1"/>
    <col min="2" max="2" width="14" customWidth="1"/>
    <col min="3" max="3" width="21" customWidth="1"/>
    <col min="4" max="4" width="44" customWidth="1"/>
    <col min="5" max="5" width="18" customWidth="1"/>
    <col min="6" max="6" width="32" customWidth="1"/>
    <col min="7" max="7" width="27" customWidth="1"/>
    <col min="8" max="8" width="54" customWidth="1"/>
    <col min="9" max="9" width="42" customWidth="1"/>
    <col min="10" max="10" width="45" customWidth="1"/>
    <col min="11" max="11" width="70" customWidth="1"/>
    <col min="12" max="12" width="48" customWidth="1"/>
  </cols>
  <sheetData>
    <row r="1" spans="1:12" ht="33.75" customHeight="1">
      <c r="A1" s="3" t="s">
        <v>85</v>
      </c>
      <c r="B1" s="3" t="s">
        <v>1</v>
      </c>
      <c r="C1" s="3" t="s">
        <v>120</v>
      </c>
      <c r="D1" s="3" t="s">
        <v>121</v>
      </c>
      <c r="E1" s="3" t="s">
        <v>122</v>
      </c>
      <c r="F1" s="3" t="s">
        <v>123</v>
      </c>
      <c r="G1" s="3" t="s">
        <v>124</v>
      </c>
      <c r="H1" s="3" t="s">
        <v>125</v>
      </c>
      <c r="I1" s="3" t="s">
        <v>126</v>
      </c>
      <c r="J1" s="3" t="s">
        <v>127</v>
      </c>
      <c r="K1" s="3" t="s">
        <v>128</v>
      </c>
      <c r="L1" s="3" t="s">
        <v>129</v>
      </c>
    </row>
    <row r="2" spans="1:12" ht="24">
      <c r="A2" s="4" t="s">
        <v>119</v>
      </c>
      <c r="B2" s="4">
        <v>2016</v>
      </c>
      <c r="C2" s="4" t="s">
        <v>130</v>
      </c>
      <c r="D2" s="4" t="s">
        <v>131</v>
      </c>
      <c r="E2" s="4">
        <v>2273047441.34272</v>
      </c>
      <c r="F2" s="4" t="s">
        <v>132</v>
      </c>
      <c r="G2" s="4">
        <v>1000</v>
      </c>
      <c r="H2" s="4" t="s">
        <v>133</v>
      </c>
      <c r="I2" s="4" t="s">
        <v>134</v>
      </c>
      <c r="J2" s="4" t="s">
        <v>135</v>
      </c>
      <c r="K2" s="4" t="s">
        <v>136</v>
      </c>
      <c r="L2" s="16" t="s">
        <v>137</v>
      </c>
    </row>
    <row r="3" spans="1:12" ht="24">
      <c r="A3" s="4" t="s">
        <v>119</v>
      </c>
      <c r="B3" s="4">
        <v>2016</v>
      </c>
      <c r="C3" s="4" t="s">
        <v>130</v>
      </c>
      <c r="D3" s="4" t="s">
        <v>138</v>
      </c>
      <c r="E3" s="4"/>
      <c r="F3" s="4" t="s">
        <v>139</v>
      </c>
      <c r="G3" s="4">
        <v>1</v>
      </c>
      <c r="H3" s="4" t="s">
        <v>140</v>
      </c>
      <c r="I3" s="4" t="s">
        <v>141</v>
      </c>
      <c r="J3" s="4" t="s">
        <v>142</v>
      </c>
      <c r="K3" s="4" t="s">
        <v>143</v>
      </c>
      <c r="L3" s="16" t="s">
        <v>144</v>
      </c>
    </row>
    <row r="4" spans="1:12" ht="24">
      <c r="A4" s="4" t="s">
        <v>119</v>
      </c>
      <c r="B4" s="4">
        <v>2016</v>
      </c>
      <c r="C4" s="4" t="s">
        <v>130</v>
      </c>
      <c r="D4" s="4" t="s">
        <v>145</v>
      </c>
      <c r="E4" s="4">
        <v>556.774</v>
      </c>
      <c r="F4" s="4" t="s">
        <v>146</v>
      </c>
      <c r="G4" s="4">
        <v>1</v>
      </c>
      <c r="H4" s="4" t="s">
        <v>147</v>
      </c>
      <c r="I4" s="4" t="s">
        <v>141</v>
      </c>
      <c r="J4" s="4" t="s">
        <v>148</v>
      </c>
      <c r="K4" s="4" t="s">
        <v>149</v>
      </c>
      <c r="L4" s="16" t="s">
        <v>150</v>
      </c>
    </row>
    <row r="5" spans="1:12" ht="24">
      <c r="A5" s="4" t="s">
        <v>119</v>
      </c>
      <c r="B5" s="4">
        <v>2016</v>
      </c>
      <c r="C5" s="4" t="s">
        <v>130</v>
      </c>
      <c r="D5" s="4" t="s">
        <v>151</v>
      </c>
      <c r="E5" s="4">
        <v>-2.1</v>
      </c>
      <c r="F5" s="4" t="s">
        <v>139</v>
      </c>
      <c r="G5" s="4">
        <v>1</v>
      </c>
      <c r="H5" s="4" t="s">
        <v>152</v>
      </c>
      <c r="I5" s="4" t="s">
        <v>141</v>
      </c>
      <c r="J5" s="4" t="s">
        <v>148</v>
      </c>
      <c r="K5" s="4" t="s">
        <v>153</v>
      </c>
      <c r="L5" s="16" t="s">
        <v>154</v>
      </c>
    </row>
    <row r="6" spans="1:12" ht="24">
      <c r="A6" s="4" t="s">
        <v>119</v>
      </c>
      <c r="B6" s="4">
        <v>2016</v>
      </c>
      <c r="C6" s="4" t="s">
        <v>130</v>
      </c>
      <c r="D6" s="4" t="s">
        <v>155</v>
      </c>
      <c r="E6" s="4">
        <v>41.522020677074998</v>
      </c>
      <c r="F6" s="4" t="s">
        <v>156</v>
      </c>
      <c r="G6" s="4">
        <v>1</v>
      </c>
      <c r="H6" s="4" t="s">
        <v>157</v>
      </c>
      <c r="I6" s="4" t="s">
        <v>158</v>
      </c>
      <c r="J6" s="4" t="s">
        <v>159</v>
      </c>
      <c r="K6" s="4" t="s">
        <v>160</v>
      </c>
      <c r="L6" s="16" t="s">
        <v>161</v>
      </c>
    </row>
    <row r="7" spans="1:12" ht="24">
      <c r="A7" s="4" t="s">
        <v>119</v>
      </c>
      <c r="B7" s="4">
        <v>2016</v>
      </c>
      <c r="C7" s="4" t="s">
        <v>130</v>
      </c>
      <c r="D7" s="4" t="s">
        <v>162</v>
      </c>
      <c r="E7" s="4">
        <v>53.1</v>
      </c>
      <c r="F7" s="4" t="s">
        <v>163</v>
      </c>
      <c r="G7" s="4">
        <v>1</v>
      </c>
      <c r="H7" s="4" t="s">
        <v>164</v>
      </c>
      <c r="I7" s="4" t="s">
        <v>141</v>
      </c>
      <c r="J7" s="4" t="s">
        <v>148</v>
      </c>
      <c r="K7" s="4" t="s">
        <v>165</v>
      </c>
      <c r="L7" s="16" t="s">
        <v>166</v>
      </c>
    </row>
    <row r="8" spans="1:12" ht="24">
      <c r="A8" s="4" t="s">
        <v>119</v>
      </c>
      <c r="B8" s="4">
        <v>2016</v>
      </c>
      <c r="C8" s="4" t="s">
        <v>130</v>
      </c>
      <c r="D8" s="4" t="s">
        <v>167</v>
      </c>
      <c r="E8" s="4"/>
      <c r="F8" s="4" t="s">
        <v>168</v>
      </c>
      <c r="G8" s="4">
        <v>1000000</v>
      </c>
      <c r="H8" s="4" t="s">
        <v>169</v>
      </c>
      <c r="I8" s="4" t="s">
        <v>170</v>
      </c>
      <c r="J8" s="4" t="s">
        <v>171</v>
      </c>
      <c r="K8" s="4" t="s">
        <v>172</v>
      </c>
      <c r="L8" s="16" t="s">
        <v>173</v>
      </c>
    </row>
    <row r="9" spans="1:12" ht="24">
      <c r="A9" s="4" t="s">
        <v>119</v>
      </c>
      <c r="B9" s="4">
        <v>2016</v>
      </c>
      <c r="C9" s="4" t="s">
        <v>130</v>
      </c>
      <c r="D9" s="4" t="s">
        <v>174</v>
      </c>
      <c r="E9" s="4">
        <v>-6.6546689825751999</v>
      </c>
      <c r="F9" s="4" t="s">
        <v>156</v>
      </c>
      <c r="G9" s="4">
        <v>1</v>
      </c>
      <c r="H9" s="4" t="s">
        <v>175</v>
      </c>
      <c r="I9" s="4" t="s">
        <v>176</v>
      </c>
      <c r="J9" s="4" t="s">
        <v>148</v>
      </c>
      <c r="K9" s="4" t="s">
        <v>177</v>
      </c>
      <c r="L9" s="16" t="s">
        <v>178</v>
      </c>
    </row>
    <row r="10" spans="1:12" ht="24">
      <c r="A10" s="4" t="s">
        <v>119</v>
      </c>
      <c r="B10" s="4">
        <v>2016</v>
      </c>
      <c r="C10" s="4" t="s">
        <v>130</v>
      </c>
      <c r="D10" s="4" t="s">
        <v>179</v>
      </c>
      <c r="E10" s="4">
        <v>43.59</v>
      </c>
      <c r="F10" s="4" t="s">
        <v>180</v>
      </c>
      <c r="G10" s="4">
        <v>1000000</v>
      </c>
      <c r="H10" s="4" t="s">
        <v>181</v>
      </c>
      <c r="I10" s="4" t="s">
        <v>141</v>
      </c>
      <c r="J10" s="4" t="s">
        <v>148</v>
      </c>
      <c r="K10" s="4" t="s">
        <v>182</v>
      </c>
      <c r="L10" s="16" t="s">
        <v>183</v>
      </c>
    </row>
    <row r="11" spans="1:12" ht="36">
      <c r="A11" s="4" t="s">
        <v>119</v>
      </c>
      <c r="B11" s="4">
        <v>2016</v>
      </c>
      <c r="C11" s="4" t="s">
        <v>130</v>
      </c>
      <c r="D11" s="4" t="s">
        <v>184</v>
      </c>
      <c r="E11" s="4">
        <v>1120751.4203780401</v>
      </c>
      <c r="F11" s="4" t="s">
        <v>185</v>
      </c>
      <c r="G11" s="4"/>
      <c r="H11" s="4" t="s">
        <v>186</v>
      </c>
      <c r="I11" s="4" t="s">
        <v>187</v>
      </c>
      <c r="J11" s="4" t="s">
        <v>188</v>
      </c>
      <c r="K11" s="4" t="s">
        <v>189</v>
      </c>
      <c r="L11" s="16" t="s">
        <v>190</v>
      </c>
    </row>
    <row r="12" spans="1:12" ht="24">
      <c r="A12" s="4" t="s">
        <v>119</v>
      </c>
      <c r="B12" s="4">
        <v>2016</v>
      </c>
      <c r="C12" s="4" t="s">
        <v>130</v>
      </c>
      <c r="D12" s="4" t="s">
        <v>191</v>
      </c>
      <c r="E12" s="4"/>
      <c r="F12" s="4" t="s">
        <v>168</v>
      </c>
      <c r="G12" s="4">
        <v>1000000</v>
      </c>
      <c r="H12" s="4" t="s">
        <v>169</v>
      </c>
      <c r="I12" s="4" t="s">
        <v>170</v>
      </c>
      <c r="J12" s="4" t="s">
        <v>171</v>
      </c>
      <c r="K12" s="4" t="s">
        <v>172</v>
      </c>
      <c r="L12" s="16" t="s">
        <v>173</v>
      </c>
    </row>
    <row r="13" spans="1:12" ht="24">
      <c r="A13" s="4" t="s">
        <v>119</v>
      </c>
      <c r="B13" s="4">
        <v>2016</v>
      </c>
      <c r="C13" s="4" t="s">
        <v>130</v>
      </c>
      <c r="D13" s="4" t="s">
        <v>192</v>
      </c>
      <c r="E13" s="4"/>
      <c r="F13" s="4" t="s">
        <v>168</v>
      </c>
      <c r="G13" s="4">
        <v>1000000</v>
      </c>
      <c r="H13" s="4" t="s">
        <v>169</v>
      </c>
      <c r="I13" s="4" t="s">
        <v>170</v>
      </c>
      <c r="J13" s="4" t="s">
        <v>171</v>
      </c>
      <c r="K13" s="4" t="s">
        <v>172</v>
      </c>
      <c r="L13" s="16" t="s">
        <v>173</v>
      </c>
    </row>
    <row r="14" spans="1:12" ht="24">
      <c r="A14" s="4" t="s">
        <v>119</v>
      </c>
      <c r="B14" s="4">
        <v>2017</v>
      </c>
      <c r="C14" s="4" t="s">
        <v>193</v>
      </c>
      <c r="D14" s="4" t="s">
        <v>131</v>
      </c>
      <c r="E14" s="4">
        <v>2842216743.2852101</v>
      </c>
      <c r="F14" s="4" t="s">
        <v>132</v>
      </c>
      <c r="G14" s="4">
        <v>1000</v>
      </c>
      <c r="H14" s="4" t="s">
        <v>133</v>
      </c>
      <c r="I14" s="4" t="s">
        <v>194</v>
      </c>
      <c r="J14" s="4" t="s">
        <v>135</v>
      </c>
      <c r="K14" s="4" t="s">
        <v>136</v>
      </c>
      <c r="L14" s="16" t="s">
        <v>195</v>
      </c>
    </row>
    <row r="15" spans="1:12" ht="24">
      <c r="A15" s="4" t="s">
        <v>119</v>
      </c>
      <c r="B15" s="4">
        <v>2017</v>
      </c>
      <c r="C15" s="4" t="s">
        <v>193</v>
      </c>
      <c r="D15" s="4" t="s">
        <v>138</v>
      </c>
      <c r="E15" s="4">
        <v>25.7</v>
      </c>
      <c r="F15" s="4" t="s">
        <v>139</v>
      </c>
      <c r="G15" s="4">
        <v>1</v>
      </c>
      <c r="H15" s="4" t="s">
        <v>140</v>
      </c>
      <c r="I15" s="4" t="s">
        <v>141</v>
      </c>
      <c r="J15" s="4" t="s">
        <v>148</v>
      </c>
      <c r="K15" s="4" t="s">
        <v>143</v>
      </c>
      <c r="L15" s="16" t="s">
        <v>144</v>
      </c>
    </row>
    <row r="16" spans="1:12" ht="24">
      <c r="A16" s="4" t="s">
        <v>119</v>
      </c>
      <c r="B16" s="4">
        <v>2017</v>
      </c>
      <c r="C16" s="4" t="s">
        <v>193</v>
      </c>
      <c r="D16" s="4" t="s">
        <v>145</v>
      </c>
      <c r="E16" s="4">
        <v>643.86099999999999</v>
      </c>
      <c r="F16" s="4" t="s">
        <v>146</v>
      </c>
      <c r="G16" s="4">
        <v>1</v>
      </c>
      <c r="H16" s="4" t="s">
        <v>147</v>
      </c>
      <c r="I16" s="4" t="s">
        <v>141</v>
      </c>
      <c r="J16" s="4" t="s">
        <v>148</v>
      </c>
      <c r="K16" s="4" t="s">
        <v>149</v>
      </c>
      <c r="L16" s="16" t="s">
        <v>150</v>
      </c>
    </row>
    <row r="17" spans="1:12" ht="24">
      <c r="A17" s="4" t="s">
        <v>119</v>
      </c>
      <c r="B17" s="4">
        <v>2017</v>
      </c>
      <c r="C17" s="4" t="s">
        <v>193</v>
      </c>
      <c r="D17" s="4" t="s">
        <v>151</v>
      </c>
      <c r="E17" s="4">
        <v>2.8</v>
      </c>
      <c r="F17" s="4" t="s">
        <v>139</v>
      </c>
      <c r="G17" s="4">
        <v>1</v>
      </c>
      <c r="H17" s="4" t="s">
        <v>152</v>
      </c>
      <c r="I17" s="4" t="s">
        <v>141</v>
      </c>
      <c r="J17" s="4" t="s">
        <v>148</v>
      </c>
      <c r="K17" s="4" t="s">
        <v>153</v>
      </c>
      <c r="L17" s="16" t="s">
        <v>154</v>
      </c>
    </row>
    <row r="18" spans="1:12" ht="24">
      <c r="A18" s="4" t="s">
        <v>119</v>
      </c>
      <c r="B18" s="4">
        <v>2017</v>
      </c>
      <c r="C18" s="4" t="s">
        <v>193</v>
      </c>
      <c r="D18" s="4" t="s">
        <v>155</v>
      </c>
      <c r="E18" s="4">
        <v>41.121454021199</v>
      </c>
      <c r="F18" s="4" t="s">
        <v>156</v>
      </c>
      <c r="G18" s="4">
        <v>1</v>
      </c>
      <c r="H18" s="4" t="s">
        <v>157</v>
      </c>
      <c r="I18" s="4" t="s">
        <v>158</v>
      </c>
      <c r="J18" s="4" t="s">
        <v>159</v>
      </c>
      <c r="K18" s="4" t="s">
        <v>160</v>
      </c>
      <c r="L18" s="16" t="s">
        <v>161</v>
      </c>
    </row>
    <row r="19" spans="1:12" ht="24">
      <c r="A19" s="4" t="s">
        <v>119</v>
      </c>
      <c r="B19" s="4">
        <v>2017</v>
      </c>
      <c r="C19" s="4" t="s">
        <v>193</v>
      </c>
      <c r="D19" s="4" t="s">
        <v>162</v>
      </c>
      <c r="E19" s="4">
        <v>57</v>
      </c>
      <c r="F19" s="4" t="s">
        <v>163</v>
      </c>
      <c r="G19" s="4">
        <v>1</v>
      </c>
      <c r="H19" s="4" t="s">
        <v>164</v>
      </c>
      <c r="I19" s="4" t="s">
        <v>141</v>
      </c>
      <c r="J19" s="4" t="s">
        <v>148</v>
      </c>
      <c r="K19" s="4" t="s">
        <v>165</v>
      </c>
      <c r="L19" s="16" t="s">
        <v>166</v>
      </c>
    </row>
    <row r="20" spans="1:12" ht="24">
      <c r="A20" s="4" t="s">
        <v>119</v>
      </c>
      <c r="B20" s="4">
        <v>2017</v>
      </c>
      <c r="C20" s="4" t="s">
        <v>193</v>
      </c>
      <c r="D20" s="4" t="s">
        <v>167</v>
      </c>
      <c r="E20" s="4"/>
      <c r="F20" s="4" t="s">
        <v>168</v>
      </c>
      <c r="G20" s="4">
        <v>1000000</v>
      </c>
      <c r="H20" s="4" t="s">
        <v>169</v>
      </c>
      <c r="I20" s="4" t="s">
        <v>170</v>
      </c>
      <c r="J20" s="4" t="s">
        <v>171</v>
      </c>
      <c r="K20" s="4" t="s">
        <v>172</v>
      </c>
      <c r="L20" s="16" t="s">
        <v>173</v>
      </c>
    </row>
    <row r="21" spans="1:12" ht="24">
      <c r="A21" s="4" t="s">
        <v>119</v>
      </c>
      <c r="B21" s="4">
        <v>2017</v>
      </c>
      <c r="C21" s="4" t="s">
        <v>193</v>
      </c>
      <c r="D21" s="4" t="s">
        <v>174</v>
      </c>
      <c r="E21" s="4">
        <v>-6.6933411315782996</v>
      </c>
      <c r="F21" s="4" t="s">
        <v>156</v>
      </c>
      <c r="G21" s="4">
        <v>1</v>
      </c>
      <c r="H21" s="4" t="s">
        <v>175</v>
      </c>
      <c r="I21" s="4" t="s">
        <v>176</v>
      </c>
      <c r="J21" s="4" t="s">
        <v>148</v>
      </c>
      <c r="K21" s="4" t="s">
        <v>177</v>
      </c>
      <c r="L21" s="16" t="s">
        <v>178</v>
      </c>
    </row>
    <row r="22" spans="1:12" ht="24">
      <c r="A22" s="4" t="s">
        <v>119</v>
      </c>
      <c r="B22" s="4">
        <v>2017</v>
      </c>
      <c r="C22" s="4" t="s">
        <v>193</v>
      </c>
      <c r="D22" s="4" t="s">
        <v>179</v>
      </c>
      <c r="E22" s="4">
        <v>44.045000000000002</v>
      </c>
      <c r="F22" s="4" t="s">
        <v>180</v>
      </c>
      <c r="G22" s="4">
        <v>1000000</v>
      </c>
      <c r="H22" s="4" t="s">
        <v>181</v>
      </c>
      <c r="I22" s="4" t="s">
        <v>141</v>
      </c>
      <c r="J22" s="4" t="s">
        <v>148</v>
      </c>
      <c r="K22" s="4" t="s">
        <v>182</v>
      </c>
      <c r="L22" s="16" t="s">
        <v>183</v>
      </c>
    </row>
    <row r="23" spans="1:12" ht="36">
      <c r="A23" s="4" t="s">
        <v>119</v>
      </c>
      <c r="B23" s="4">
        <v>2017</v>
      </c>
      <c r="C23" s="4" t="s">
        <v>193</v>
      </c>
      <c r="D23" s="4" t="s">
        <v>184</v>
      </c>
      <c r="E23" s="4">
        <v>1457199.8249073001</v>
      </c>
      <c r="F23" s="4" t="s">
        <v>185</v>
      </c>
      <c r="G23" s="4"/>
      <c r="H23" s="4" t="s">
        <v>186</v>
      </c>
      <c r="I23" s="4" t="s">
        <v>187</v>
      </c>
      <c r="J23" s="4" t="s">
        <v>188</v>
      </c>
      <c r="K23" s="4" t="s">
        <v>189</v>
      </c>
      <c r="L23" s="16" t="s">
        <v>190</v>
      </c>
    </row>
    <row r="24" spans="1:12" ht="24">
      <c r="A24" s="4" t="s">
        <v>119</v>
      </c>
      <c r="B24" s="4">
        <v>2017</v>
      </c>
      <c r="C24" s="4" t="s">
        <v>193</v>
      </c>
      <c r="D24" s="4" t="s">
        <v>191</v>
      </c>
      <c r="E24" s="4"/>
      <c r="F24" s="4" t="s">
        <v>168</v>
      </c>
      <c r="G24" s="4">
        <v>1000000</v>
      </c>
      <c r="H24" s="4" t="s">
        <v>169</v>
      </c>
      <c r="I24" s="4" t="s">
        <v>170</v>
      </c>
      <c r="J24" s="4" t="s">
        <v>171</v>
      </c>
      <c r="K24" s="4" t="s">
        <v>172</v>
      </c>
      <c r="L24" s="16" t="s">
        <v>173</v>
      </c>
    </row>
    <row r="25" spans="1:12" ht="24">
      <c r="A25" s="4" t="s">
        <v>119</v>
      </c>
      <c r="B25" s="4">
        <v>2017</v>
      </c>
      <c r="C25" s="4" t="s">
        <v>193</v>
      </c>
      <c r="D25" s="4" t="s">
        <v>192</v>
      </c>
      <c r="E25" s="4"/>
      <c r="F25" s="4" t="s">
        <v>168</v>
      </c>
      <c r="G25" s="4">
        <v>1000000</v>
      </c>
      <c r="H25" s="4" t="s">
        <v>169</v>
      </c>
      <c r="I25" s="4" t="s">
        <v>170</v>
      </c>
      <c r="J25" s="4" t="s">
        <v>171</v>
      </c>
      <c r="K25" s="4" t="s">
        <v>172</v>
      </c>
      <c r="L25" s="16" t="s">
        <v>173</v>
      </c>
    </row>
    <row r="26" spans="1:12" ht="24">
      <c r="A26" s="4" t="s">
        <v>119</v>
      </c>
      <c r="B26" s="4">
        <v>2018</v>
      </c>
      <c r="C26" s="4" t="s">
        <v>196</v>
      </c>
      <c r="D26" s="4" t="s">
        <v>131</v>
      </c>
      <c r="E26" s="4">
        <v>3713409148.3684402</v>
      </c>
      <c r="F26" s="4" t="s">
        <v>132</v>
      </c>
      <c r="G26" s="4">
        <v>1000</v>
      </c>
      <c r="H26" s="4" t="s">
        <v>133</v>
      </c>
      <c r="I26" s="4" t="s">
        <v>197</v>
      </c>
      <c r="J26" s="4" t="s">
        <v>135</v>
      </c>
      <c r="K26" s="4" t="s">
        <v>136</v>
      </c>
      <c r="L26" s="16" t="s">
        <v>198</v>
      </c>
    </row>
    <row r="27" spans="1:12" ht="24">
      <c r="A27" s="4" t="s">
        <v>119</v>
      </c>
      <c r="B27" s="4">
        <v>2018</v>
      </c>
      <c r="C27" s="4" t="s">
        <v>196</v>
      </c>
      <c r="D27" s="4" t="s">
        <v>138</v>
      </c>
      <c r="E27" s="4">
        <v>34.299999999999997</v>
      </c>
      <c r="F27" s="4" t="s">
        <v>139</v>
      </c>
      <c r="G27" s="4">
        <v>1</v>
      </c>
      <c r="H27" s="4" t="s">
        <v>140</v>
      </c>
      <c r="I27" s="4" t="s">
        <v>141</v>
      </c>
      <c r="J27" s="4" t="s">
        <v>148</v>
      </c>
      <c r="K27" s="4" t="s">
        <v>143</v>
      </c>
      <c r="L27" s="16" t="s">
        <v>144</v>
      </c>
    </row>
    <row r="28" spans="1:12" ht="24">
      <c r="A28" s="4" t="s">
        <v>119</v>
      </c>
      <c r="B28" s="4">
        <v>2018</v>
      </c>
      <c r="C28" s="4" t="s">
        <v>196</v>
      </c>
      <c r="D28" s="4" t="s">
        <v>145</v>
      </c>
      <c r="E28" s="4">
        <v>524.43100000000004</v>
      </c>
      <c r="F28" s="4" t="s">
        <v>146</v>
      </c>
      <c r="G28" s="4">
        <v>1</v>
      </c>
      <c r="H28" s="4" t="s">
        <v>147</v>
      </c>
      <c r="I28" s="4" t="s">
        <v>141</v>
      </c>
      <c r="J28" s="4" t="s">
        <v>148</v>
      </c>
      <c r="K28" s="4" t="s">
        <v>149</v>
      </c>
      <c r="L28" s="16" t="s">
        <v>150</v>
      </c>
    </row>
    <row r="29" spans="1:12" ht="24">
      <c r="A29" s="4" t="s">
        <v>119</v>
      </c>
      <c r="B29" s="4">
        <v>2018</v>
      </c>
      <c r="C29" s="4" t="s">
        <v>196</v>
      </c>
      <c r="D29" s="4" t="s">
        <v>151</v>
      </c>
      <c r="E29" s="4">
        <v>-2.6</v>
      </c>
      <c r="F29" s="4" t="s">
        <v>139</v>
      </c>
      <c r="G29" s="4">
        <v>1</v>
      </c>
      <c r="H29" s="4" t="s">
        <v>152</v>
      </c>
      <c r="I29" s="4" t="s">
        <v>141</v>
      </c>
      <c r="J29" s="4" t="s">
        <v>148</v>
      </c>
      <c r="K29" s="4" t="s">
        <v>153</v>
      </c>
      <c r="L29" s="16" t="s">
        <v>154</v>
      </c>
    </row>
    <row r="30" spans="1:12" ht="24">
      <c r="A30" s="4" t="s">
        <v>119</v>
      </c>
      <c r="B30" s="4">
        <v>2018</v>
      </c>
      <c r="C30" s="4" t="s">
        <v>196</v>
      </c>
      <c r="D30" s="4" t="s">
        <v>155</v>
      </c>
      <c r="E30" s="4">
        <v>38.949208040045001</v>
      </c>
      <c r="F30" s="4" t="s">
        <v>156</v>
      </c>
      <c r="G30" s="4">
        <v>1</v>
      </c>
      <c r="H30" s="4" t="s">
        <v>157</v>
      </c>
      <c r="I30" s="4" t="s">
        <v>158</v>
      </c>
      <c r="J30" s="4" t="s">
        <v>159</v>
      </c>
      <c r="K30" s="4" t="s">
        <v>160</v>
      </c>
      <c r="L30" s="16" t="s">
        <v>161</v>
      </c>
    </row>
    <row r="31" spans="1:12" ht="24">
      <c r="A31" s="4" t="s">
        <v>119</v>
      </c>
      <c r="B31" s="4">
        <v>2018</v>
      </c>
      <c r="C31" s="4" t="s">
        <v>196</v>
      </c>
      <c r="D31" s="4" t="s">
        <v>162</v>
      </c>
      <c r="E31" s="4">
        <v>85.2</v>
      </c>
      <c r="F31" s="4" t="s">
        <v>163</v>
      </c>
      <c r="G31" s="4">
        <v>1</v>
      </c>
      <c r="H31" s="4" t="s">
        <v>164</v>
      </c>
      <c r="I31" s="4" t="s">
        <v>141</v>
      </c>
      <c r="J31" s="4" t="s">
        <v>148</v>
      </c>
      <c r="K31" s="4" t="s">
        <v>165</v>
      </c>
      <c r="L31" s="16" t="s">
        <v>166</v>
      </c>
    </row>
    <row r="32" spans="1:12" ht="24">
      <c r="A32" s="4" t="s">
        <v>119</v>
      </c>
      <c r="B32" s="4">
        <v>2018</v>
      </c>
      <c r="C32" s="4" t="s">
        <v>196</v>
      </c>
      <c r="D32" s="4" t="s">
        <v>167</v>
      </c>
      <c r="E32" s="4"/>
      <c r="F32" s="4" t="s">
        <v>168</v>
      </c>
      <c r="G32" s="4">
        <v>1000000</v>
      </c>
      <c r="H32" s="4" t="s">
        <v>169</v>
      </c>
      <c r="I32" s="4" t="s">
        <v>170</v>
      </c>
      <c r="J32" s="4" t="s">
        <v>171</v>
      </c>
      <c r="K32" s="4" t="s">
        <v>172</v>
      </c>
      <c r="L32" s="16" t="s">
        <v>173</v>
      </c>
    </row>
    <row r="33" spans="1:12" ht="24">
      <c r="A33" s="4" t="s">
        <v>119</v>
      </c>
      <c r="B33" s="4">
        <v>2018</v>
      </c>
      <c r="C33" s="4" t="s">
        <v>196</v>
      </c>
      <c r="D33" s="4" t="s">
        <v>174</v>
      </c>
      <c r="E33" s="4">
        <v>-5.4411455069360999</v>
      </c>
      <c r="F33" s="4" t="s">
        <v>156</v>
      </c>
      <c r="G33" s="4">
        <v>1</v>
      </c>
      <c r="H33" s="4" t="s">
        <v>175</v>
      </c>
      <c r="I33" s="4" t="s">
        <v>176</v>
      </c>
      <c r="J33" s="4" t="s">
        <v>148</v>
      </c>
      <c r="K33" s="4" t="s">
        <v>177</v>
      </c>
      <c r="L33" s="16" t="s">
        <v>178</v>
      </c>
    </row>
    <row r="34" spans="1:12" ht="24">
      <c r="A34" s="4" t="s">
        <v>119</v>
      </c>
      <c r="B34" s="4">
        <v>2018</v>
      </c>
      <c r="C34" s="4" t="s">
        <v>196</v>
      </c>
      <c r="D34" s="4" t="s">
        <v>179</v>
      </c>
      <c r="E34" s="4">
        <v>44.494999999999997</v>
      </c>
      <c r="F34" s="4" t="s">
        <v>180</v>
      </c>
      <c r="G34" s="4">
        <v>1000000</v>
      </c>
      <c r="H34" s="4" t="s">
        <v>181</v>
      </c>
      <c r="I34" s="4" t="s">
        <v>141</v>
      </c>
      <c r="J34" s="4" t="s">
        <v>148</v>
      </c>
      <c r="K34" s="4" t="s">
        <v>182</v>
      </c>
      <c r="L34" s="16" t="s">
        <v>183</v>
      </c>
    </row>
    <row r="35" spans="1:12" ht="36">
      <c r="A35" s="4" t="s">
        <v>119</v>
      </c>
      <c r="B35" s="4">
        <v>2018</v>
      </c>
      <c r="C35" s="4" t="s">
        <v>196</v>
      </c>
      <c r="D35" s="4" t="s">
        <v>184</v>
      </c>
      <c r="E35" s="4">
        <v>1924313.7623585199</v>
      </c>
      <c r="F35" s="4" t="s">
        <v>185</v>
      </c>
      <c r="G35" s="4"/>
      <c r="H35" s="4" t="s">
        <v>186</v>
      </c>
      <c r="I35" s="4" t="s">
        <v>187</v>
      </c>
      <c r="J35" s="4" t="s">
        <v>188</v>
      </c>
      <c r="K35" s="4" t="s">
        <v>189</v>
      </c>
      <c r="L35" s="16" t="s">
        <v>190</v>
      </c>
    </row>
    <row r="36" spans="1:12" ht="24">
      <c r="A36" s="4" t="s">
        <v>119</v>
      </c>
      <c r="B36" s="4">
        <v>2018</v>
      </c>
      <c r="C36" s="4" t="s">
        <v>196</v>
      </c>
      <c r="D36" s="4" t="s">
        <v>191</v>
      </c>
      <c r="E36" s="4"/>
      <c r="F36" s="4" t="s">
        <v>168</v>
      </c>
      <c r="G36" s="4">
        <v>1000000</v>
      </c>
      <c r="H36" s="4" t="s">
        <v>169</v>
      </c>
      <c r="I36" s="4" t="s">
        <v>170</v>
      </c>
      <c r="J36" s="4" t="s">
        <v>171</v>
      </c>
      <c r="K36" s="4" t="s">
        <v>172</v>
      </c>
      <c r="L36" s="16" t="s">
        <v>173</v>
      </c>
    </row>
    <row r="37" spans="1:12" ht="24">
      <c r="A37" s="4" t="s">
        <v>119</v>
      </c>
      <c r="B37" s="4">
        <v>2018</v>
      </c>
      <c r="C37" s="4" t="s">
        <v>196</v>
      </c>
      <c r="D37" s="4" t="s">
        <v>192</v>
      </c>
      <c r="E37" s="4"/>
      <c r="F37" s="4" t="s">
        <v>168</v>
      </c>
      <c r="G37" s="4">
        <v>1000000</v>
      </c>
      <c r="H37" s="4" t="s">
        <v>169</v>
      </c>
      <c r="I37" s="4" t="s">
        <v>170</v>
      </c>
      <c r="J37" s="4" t="s">
        <v>171</v>
      </c>
      <c r="K37" s="4" t="s">
        <v>172</v>
      </c>
      <c r="L37" s="16" t="s">
        <v>173</v>
      </c>
    </row>
    <row r="38" spans="1:12" ht="24">
      <c r="A38" s="4" t="s">
        <v>119</v>
      </c>
      <c r="B38" s="4">
        <v>2019</v>
      </c>
      <c r="C38" s="4" t="s">
        <v>199</v>
      </c>
      <c r="D38" s="4" t="s">
        <v>131</v>
      </c>
      <c r="E38" s="4">
        <v>5473537926.4927902</v>
      </c>
      <c r="F38" s="4" t="s">
        <v>132</v>
      </c>
      <c r="G38" s="4">
        <v>1000</v>
      </c>
      <c r="H38" s="4" t="s">
        <v>133</v>
      </c>
      <c r="I38" s="4" t="s">
        <v>200</v>
      </c>
      <c r="J38" s="4" t="s">
        <v>135</v>
      </c>
      <c r="K38" s="4" t="s">
        <v>136</v>
      </c>
      <c r="L38" s="16" t="s">
        <v>201</v>
      </c>
    </row>
    <row r="39" spans="1:12" ht="24">
      <c r="A39" s="4" t="s">
        <v>119</v>
      </c>
      <c r="B39" s="4">
        <v>2019</v>
      </c>
      <c r="C39" s="4" t="s">
        <v>199</v>
      </c>
      <c r="D39" s="4" t="s">
        <v>138</v>
      </c>
      <c r="E39" s="4">
        <v>53.5</v>
      </c>
      <c r="F39" s="4" t="s">
        <v>139</v>
      </c>
      <c r="G39" s="4">
        <v>1</v>
      </c>
      <c r="H39" s="4" t="s">
        <v>140</v>
      </c>
      <c r="I39" s="4" t="s">
        <v>141</v>
      </c>
      <c r="J39" s="4" t="s">
        <v>148</v>
      </c>
      <c r="K39" s="4" t="s">
        <v>143</v>
      </c>
      <c r="L39" s="16" t="s">
        <v>144</v>
      </c>
    </row>
    <row r="40" spans="1:12" ht="24">
      <c r="A40" s="4" t="s">
        <v>119</v>
      </c>
      <c r="B40" s="4">
        <v>2019</v>
      </c>
      <c r="C40" s="4" t="s">
        <v>199</v>
      </c>
      <c r="D40" s="4" t="s">
        <v>145</v>
      </c>
      <c r="E40" s="4">
        <v>446.762</v>
      </c>
      <c r="F40" s="4" t="s">
        <v>146</v>
      </c>
      <c r="G40" s="4">
        <v>1</v>
      </c>
      <c r="H40" s="4" t="s">
        <v>147</v>
      </c>
      <c r="I40" s="4" t="s">
        <v>141</v>
      </c>
      <c r="J40" s="4" t="s">
        <v>148</v>
      </c>
      <c r="K40" s="4" t="s">
        <v>149</v>
      </c>
      <c r="L40" s="16" t="s">
        <v>150</v>
      </c>
    </row>
    <row r="41" spans="1:12" ht="24">
      <c r="A41" s="4" t="s">
        <v>119</v>
      </c>
      <c r="B41" s="4">
        <v>2019</v>
      </c>
      <c r="C41" s="4" t="s">
        <v>199</v>
      </c>
      <c r="D41" s="4" t="s">
        <v>151</v>
      </c>
      <c r="E41" s="4">
        <v>-2</v>
      </c>
      <c r="F41" s="4" t="s">
        <v>139</v>
      </c>
      <c r="G41" s="4">
        <v>1</v>
      </c>
      <c r="H41" s="4" t="s">
        <v>152</v>
      </c>
      <c r="I41" s="4" t="s">
        <v>141</v>
      </c>
      <c r="J41" s="4" t="s">
        <v>148</v>
      </c>
      <c r="K41" s="4" t="s">
        <v>153</v>
      </c>
      <c r="L41" s="16" t="s">
        <v>154</v>
      </c>
    </row>
    <row r="42" spans="1:12" ht="24">
      <c r="A42" s="4" t="s">
        <v>119</v>
      </c>
      <c r="B42" s="4">
        <v>2019</v>
      </c>
      <c r="C42" s="4" t="s">
        <v>199</v>
      </c>
      <c r="D42" s="4" t="s">
        <v>155</v>
      </c>
      <c r="E42" s="4">
        <v>38.129057624396999</v>
      </c>
      <c r="F42" s="4" t="s">
        <v>156</v>
      </c>
      <c r="G42" s="4">
        <v>1</v>
      </c>
      <c r="H42" s="4" t="s">
        <v>157</v>
      </c>
      <c r="I42" s="4" t="s">
        <v>158</v>
      </c>
      <c r="J42" s="4" t="s">
        <v>159</v>
      </c>
      <c r="K42" s="4" t="s">
        <v>160</v>
      </c>
      <c r="L42" s="16" t="s">
        <v>161</v>
      </c>
    </row>
    <row r="43" spans="1:12" ht="24">
      <c r="A43" s="4" t="s">
        <v>119</v>
      </c>
      <c r="B43" s="4">
        <v>2019</v>
      </c>
      <c r="C43" s="4" t="s">
        <v>199</v>
      </c>
      <c r="D43" s="4" t="s">
        <v>162</v>
      </c>
      <c r="E43" s="4">
        <v>89.8</v>
      </c>
      <c r="F43" s="4" t="s">
        <v>163</v>
      </c>
      <c r="G43" s="4">
        <v>1</v>
      </c>
      <c r="H43" s="4" t="s">
        <v>164</v>
      </c>
      <c r="I43" s="4" t="s">
        <v>141</v>
      </c>
      <c r="J43" s="4" t="s">
        <v>148</v>
      </c>
      <c r="K43" s="4" t="s">
        <v>165</v>
      </c>
      <c r="L43" s="16" t="s">
        <v>166</v>
      </c>
    </row>
    <row r="44" spans="1:12" ht="24">
      <c r="A44" s="4" t="s">
        <v>119</v>
      </c>
      <c r="B44" s="4">
        <v>2019</v>
      </c>
      <c r="C44" s="4" t="s">
        <v>199</v>
      </c>
      <c r="D44" s="4" t="s">
        <v>167</v>
      </c>
      <c r="E44" s="4"/>
      <c r="F44" s="4" t="s">
        <v>168</v>
      </c>
      <c r="G44" s="4">
        <v>1000000</v>
      </c>
      <c r="H44" s="4" t="s">
        <v>169</v>
      </c>
      <c r="I44" s="4" t="s">
        <v>170</v>
      </c>
      <c r="J44" s="4" t="s">
        <v>171</v>
      </c>
      <c r="K44" s="4" t="s">
        <v>172</v>
      </c>
      <c r="L44" s="16" t="s">
        <v>173</v>
      </c>
    </row>
    <row r="45" spans="1:12" ht="24">
      <c r="A45" s="4" t="s">
        <v>119</v>
      </c>
      <c r="B45" s="4">
        <v>2019</v>
      </c>
      <c r="C45" s="4" t="s">
        <v>199</v>
      </c>
      <c r="D45" s="4" t="s">
        <v>174</v>
      </c>
      <c r="E45" s="4">
        <v>-4.4447575128894004</v>
      </c>
      <c r="F45" s="4" t="s">
        <v>156</v>
      </c>
      <c r="G45" s="4">
        <v>1</v>
      </c>
      <c r="H45" s="4" t="s">
        <v>175</v>
      </c>
      <c r="I45" s="4" t="s">
        <v>176</v>
      </c>
      <c r="J45" s="4" t="s">
        <v>148</v>
      </c>
      <c r="K45" s="4" t="s">
        <v>177</v>
      </c>
      <c r="L45" s="16" t="s">
        <v>178</v>
      </c>
    </row>
    <row r="46" spans="1:12" ht="24">
      <c r="A46" s="4" t="s">
        <v>119</v>
      </c>
      <c r="B46" s="4">
        <v>2019</v>
      </c>
      <c r="C46" s="4" t="s">
        <v>199</v>
      </c>
      <c r="D46" s="4" t="s">
        <v>179</v>
      </c>
      <c r="E46" s="4">
        <v>44.939</v>
      </c>
      <c r="F46" s="4" t="s">
        <v>180</v>
      </c>
      <c r="G46" s="4">
        <v>1000000</v>
      </c>
      <c r="H46" s="4" t="s">
        <v>181</v>
      </c>
      <c r="I46" s="4" t="s">
        <v>141</v>
      </c>
      <c r="J46" s="4" t="s">
        <v>148</v>
      </c>
      <c r="K46" s="4" t="s">
        <v>182</v>
      </c>
      <c r="L46" s="16" t="s">
        <v>183</v>
      </c>
    </row>
    <row r="47" spans="1:12" ht="36">
      <c r="A47" s="4" t="s">
        <v>119</v>
      </c>
      <c r="B47" s="4">
        <v>2019</v>
      </c>
      <c r="C47" s="4" t="s">
        <v>199</v>
      </c>
      <c r="D47" s="4" t="s">
        <v>184</v>
      </c>
      <c r="E47" s="4">
        <v>2754645.57410804</v>
      </c>
      <c r="F47" s="4" t="s">
        <v>185</v>
      </c>
      <c r="G47" s="4"/>
      <c r="H47" s="4" t="s">
        <v>186</v>
      </c>
      <c r="I47" s="4" t="s">
        <v>187</v>
      </c>
      <c r="J47" s="4" t="s">
        <v>188</v>
      </c>
      <c r="K47" s="4" t="s">
        <v>189</v>
      </c>
      <c r="L47" s="16" t="s">
        <v>190</v>
      </c>
    </row>
    <row r="48" spans="1:12" ht="24">
      <c r="A48" s="4" t="s">
        <v>119</v>
      </c>
      <c r="B48" s="4">
        <v>2019</v>
      </c>
      <c r="C48" s="4" t="s">
        <v>199</v>
      </c>
      <c r="D48" s="4" t="s">
        <v>191</v>
      </c>
      <c r="E48" s="4"/>
      <c r="F48" s="4" t="s">
        <v>168</v>
      </c>
      <c r="G48" s="4">
        <v>1000000</v>
      </c>
      <c r="H48" s="4" t="s">
        <v>169</v>
      </c>
      <c r="I48" s="4" t="s">
        <v>170</v>
      </c>
      <c r="J48" s="4" t="s">
        <v>171</v>
      </c>
      <c r="K48" s="4" t="s">
        <v>172</v>
      </c>
      <c r="L48" s="16" t="s">
        <v>173</v>
      </c>
    </row>
    <row r="49" spans="1:12" ht="24">
      <c r="A49" s="4" t="s">
        <v>119</v>
      </c>
      <c r="B49" s="4">
        <v>2019</v>
      </c>
      <c r="C49" s="4" t="s">
        <v>199</v>
      </c>
      <c r="D49" s="4" t="s">
        <v>192</v>
      </c>
      <c r="E49" s="4"/>
      <c r="F49" s="4" t="s">
        <v>168</v>
      </c>
      <c r="G49" s="4">
        <v>1000000</v>
      </c>
      <c r="H49" s="4" t="s">
        <v>169</v>
      </c>
      <c r="I49" s="4" t="s">
        <v>170</v>
      </c>
      <c r="J49" s="4" t="s">
        <v>171</v>
      </c>
      <c r="K49" s="4" t="s">
        <v>172</v>
      </c>
      <c r="L49" s="16" t="s">
        <v>173</v>
      </c>
    </row>
    <row r="50" spans="1:12" ht="24">
      <c r="A50" s="4" t="s">
        <v>119</v>
      </c>
      <c r="B50" s="4">
        <v>2020</v>
      </c>
      <c r="C50" s="4" t="s">
        <v>202</v>
      </c>
      <c r="D50" s="4" t="s">
        <v>131</v>
      </c>
      <c r="E50" s="4">
        <v>7237410240.2802601</v>
      </c>
      <c r="F50" s="4" t="s">
        <v>132</v>
      </c>
      <c r="G50" s="4">
        <v>1000</v>
      </c>
      <c r="H50" s="4" t="s">
        <v>133</v>
      </c>
      <c r="I50" s="4" t="s">
        <v>203</v>
      </c>
      <c r="J50" s="4" t="s">
        <v>135</v>
      </c>
      <c r="K50" s="4" t="s">
        <v>136</v>
      </c>
      <c r="L50" s="16" t="s">
        <v>204</v>
      </c>
    </row>
    <row r="51" spans="1:12" ht="24">
      <c r="A51" s="4" t="s">
        <v>119</v>
      </c>
      <c r="B51" s="4">
        <v>2020</v>
      </c>
      <c r="C51" s="4" t="s">
        <v>202</v>
      </c>
      <c r="D51" s="4" t="s">
        <v>138</v>
      </c>
      <c r="E51" s="4">
        <v>42</v>
      </c>
      <c r="F51" s="4" t="s">
        <v>139</v>
      </c>
      <c r="G51" s="4">
        <v>1</v>
      </c>
      <c r="H51" s="4" t="s">
        <v>140</v>
      </c>
      <c r="I51" s="4" t="s">
        <v>141</v>
      </c>
      <c r="J51" s="4" t="s">
        <v>148</v>
      </c>
      <c r="K51" s="4" t="s">
        <v>143</v>
      </c>
      <c r="L51" s="16" t="s">
        <v>144</v>
      </c>
    </row>
    <row r="52" spans="1:12" ht="24">
      <c r="A52" s="4" t="s">
        <v>119</v>
      </c>
      <c r="B52" s="4">
        <v>2020</v>
      </c>
      <c r="C52" s="4" t="s">
        <v>202</v>
      </c>
      <c r="D52" s="4" t="s">
        <v>145</v>
      </c>
      <c r="E52" s="4">
        <v>385.21800000000002</v>
      </c>
      <c r="F52" s="4" t="s">
        <v>146</v>
      </c>
      <c r="G52" s="4">
        <v>1</v>
      </c>
      <c r="H52" s="4" t="s">
        <v>147</v>
      </c>
      <c r="I52" s="4" t="s">
        <v>141</v>
      </c>
      <c r="J52" s="4" t="s">
        <v>148</v>
      </c>
      <c r="K52" s="4" t="s">
        <v>149</v>
      </c>
      <c r="L52" s="16" t="s">
        <v>150</v>
      </c>
    </row>
    <row r="53" spans="1:12" ht="24">
      <c r="A53" s="4" t="s">
        <v>119</v>
      </c>
      <c r="B53" s="4">
        <v>2020</v>
      </c>
      <c r="C53" s="4" t="s">
        <v>202</v>
      </c>
      <c r="D53" s="4" t="s">
        <v>151</v>
      </c>
      <c r="E53" s="4">
        <v>-9.9</v>
      </c>
      <c r="F53" s="4" t="s">
        <v>139</v>
      </c>
      <c r="G53" s="4">
        <v>1</v>
      </c>
      <c r="H53" s="4" t="s">
        <v>152</v>
      </c>
      <c r="I53" s="4" t="s">
        <v>141</v>
      </c>
      <c r="J53" s="4" t="s">
        <v>148</v>
      </c>
      <c r="K53" s="4" t="s">
        <v>153</v>
      </c>
      <c r="L53" s="16" t="s">
        <v>154</v>
      </c>
    </row>
    <row r="54" spans="1:12" ht="24">
      <c r="A54" s="4" t="s">
        <v>119</v>
      </c>
      <c r="B54" s="4">
        <v>2020</v>
      </c>
      <c r="C54" s="4" t="s">
        <v>202</v>
      </c>
      <c r="D54" s="4" t="s">
        <v>155</v>
      </c>
      <c r="E54" s="4">
        <v>42.479239774996998</v>
      </c>
      <c r="F54" s="4" t="s">
        <v>156</v>
      </c>
      <c r="G54" s="4">
        <v>1</v>
      </c>
      <c r="H54" s="4" t="s">
        <v>157</v>
      </c>
      <c r="I54" s="4" t="s">
        <v>158</v>
      </c>
      <c r="J54" s="4" t="s">
        <v>159</v>
      </c>
      <c r="K54" s="4" t="s">
        <v>160</v>
      </c>
      <c r="L54" s="16" t="s">
        <v>161</v>
      </c>
    </row>
    <row r="55" spans="1:12" ht="24">
      <c r="A55" s="4" t="s">
        <v>119</v>
      </c>
      <c r="B55" s="4">
        <v>2020</v>
      </c>
      <c r="C55" s="4" t="s">
        <v>202</v>
      </c>
      <c r="D55" s="4" t="s">
        <v>162</v>
      </c>
      <c r="E55" s="4">
        <v>103.8</v>
      </c>
      <c r="F55" s="4" t="s">
        <v>163</v>
      </c>
      <c r="G55" s="4">
        <v>1</v>
      </c>
      <c r="H55" s="4" t="s">
        <v>164</v>
      </c>
      <c r="I55" s="4" t="s">
        <v>141</v>
      </c>
      <c r="J55" s="4" t="s">
        <v>148</v>
      </c>
      <c r="K55" s="4" t="s">
        <v>165</v>
      </c>
      <c r="L55" s="16" t="s">
        <v>166</v>
      </c>
    </row>
    <row r="56" spans="1:12" ht="24">
      <c r="A56" s="4" t="s">
        <v>119</v>
      </c>
      <c r="B56" s="4">
        <v>2020</v>
      </c>
      <c r="C56" s="4" t="s">
        <v>202</v>
      </c>
      <c r="D56" s="4" t="s">
        <v>167</v>
      </c>
      <c r="E56" s="4"/>
      <c r="F56" s="4" t="s">
        <v>168</v>
      </c>
      <c r="G56" s="4">
        <v>1000000</v>
      </c>
      <c r="H56" s="4" t="s">
        <v>169</v>
      </c>
      <c r="I56" s="4" t="s">
        <v>170</v>
      </c>
      <c r="J56" s="4" t="s">
        <v>171</v>
      </c>
      <c r="K56" s="4" t="s">
        <v>172</v>
      </c>
      <c r="L56" s="16" t="s">
        <v>173</v>
      </c>
    </row>
    <row r="57" spans="1:12" ht="24">
      <c r="A57" s="4" t="s">
        <v>119</v>
      </c>
      <c r="B57" s="4">
        <v>2020</v>
      </c>
      <c r="C57" s="4" t="s">
        <v>202</v>
      </c>
      <c r="D57" s="4" t="s">
        <v>174</v>
      </c>
      <c r="E57" s="4">
        <v>-8.6740711539257997</v>
      </c>
      <c r="F57" s="4" t="s">
        <v>156</v>
      </c>
      <c r="G57" s="4">
        <v>1</v>
      </c>
      <c r="H57" s="4" t="s">
        <v>175</v>
      </c>
      <c r="I57" s="4" t="s">
        <v>176</v>
      </c>
      <c r="J57" s="4" t="s">
        <v>148</v>
      </c>
      <c r="K57" s="4" t="s">
        <v>177</v>
      </c>
      <c r="L57" s="16" t="s">
        <v>178</v>
      </c>
    </row>
    <row r="58" spans="1:12" ht="24">
      <c r="A58" s="4" t="s">
        <v>119</v>
      </c>
      <c r="B58" s="4">
        <v>2020</v>
      </c>
      <c r="C58" s="4" t="s">
        <v>202</v>
      </c>
      <c r="D58" s="4" t="s">
        <v>179</v>
      </c>
      <c r="E58" s="4">
        <v>45.377000000000002</v>
      </c>
      <c r="F58" s="4" t="s">
        <v>180</v>
      </c>
      <c r="G58" s="4">
        <v>1000000</v>
      </c>
      <c r="H58" s="4" t="s">
        <v>181</v>
      </c>
      <c r="I58" s="4" t="s">
        <v>141</v>
      </c>
      <c r="J58" s="4" t="s">
        <v>148</v>
      </c>
      <c r="K58" s="4" t="s">
        <v>182</v>
      </c>
      <c r="L58" s="16" t="s">
        <v>183</v>
      </c>
    </row>
    <row r="59" spans="1:12" ht="36">
      <c r="A59" s="4" t="s">
        <v>119</v>
      </c>
      <c r="B59" s="4">
        <v>2020</v>
      </c>
      <c r="C59" s="4" t="s">
        <v>202</v>
      </c>
      <c r="D59" s="4" t="s">
        <v>184</v>
      </c>
      <c r="E59" s="4">
        <v>3742115.7009005002</v>
      </c>
      <c r="F59" s="4" t="s">
        <v>185</v>
      </c>
      <c r="G59" s="4"/>
      <c r="H59" s="4" t="s">
        <v>186</v>
      </c>
      <c r="I59" s="4" t="s">
        <v>187</v>
      </c>
      <c r="J59" s="4" t="s">
        <v>188</v>
      </c>
      <c r="K59" s="4" t="s">
        <v>189</v>
      </c>
      <c r="L59" s="16" t="s">
        <v>190</v>
      </c>
    </row>
    <row r="60" spans="1:12" ht="24">
      <c r="A60" s="4" t="s">
        <v>119</v>
      </c>
      <c r="B60" s="4">
        <v>2020</v>
      </c>
      <c r="C60" s="4" t="s">
        <v>202</v>
      </c>
      <c r="D60" s="4" t="s">
        <v>191</v>
      </c>
      <c r="E60" s="4"/>
      <c r="F60" s="4" t="s">
        <v>168</v>
      </c>
      <c r="G60" s="4">
        <v>1000000</v>
      </c>
      <c r="H60" s="4" t="s">
        <v>169</v>
      </c>
      <c r="I60" s="4" t="s">
        <v>170</v>
      </c>
      <c r="J60" s="4" t="s">
        <v>171</v>
      </c>
      <c r="K60" s="4" t="s">
        <v>172</v>
      </c>
      <c r="L60" s="16" t="s">
        <v>173</v>
      </c>
    </row>
    <row r="61" spans="1:12" ht="24">
      <c r="A61" s="4" t="s">
        <v>119</v>
      </c>
      <c r="B61" s="4">
        <v>2020</v>
      </c>
      <c r="C61" s="4" t="s">
        <v>202</v>
      </c>
      <c r="D61" s="4" t="s">
        <v>192</v>
      </c>
      <c r="E61" s="4"/>
      <c r="F61" s="4" t="s">
        <v>168</v>
      </c>
      <c r="G61" s="4">
        <v>1000000</v>
      </c>
      <c r="H61" s="4" t="s">
        <v>169</v>
      </c>
      <c r="I61" s="4" t="s">
        <v>170</v>
      </c>
      <c r="J61" s="4" t="s">
        <v>171</v>
      </c>
      <c r="K61" s="4" t="s">
        <v>172</v>
      </c>
      <c r="L61" s="16" t="s">
        <v>173</v>
      </c>
    </row>
    <row r="62" spans="1:12" ht="24">
      <c r="A62" s="4" t="s">
        <v>119</v>
      </c>
      <c r="B62" s="4">
        <v>2021</v>
      </c>
      <c r="C62" s="4" t="s">
        <v>205</v>
      </c>
      <c r="D62" s="4" t="s">
        <v>131</v>
      </c>
      <c r="E62" s="4">
        <v>11906730.771054</v>
      </c>
      <c r="F62" s="4" t="s">
        <v>168</v>
      </c>
      <c r="G62" s="4">
        <v>1000000</v>
      </c>
      <c r="H62" s="4" t="s">
        <v>206</v>
      </c>
      <c r="I62" s="4" t="s">
        <v>207</v>
      </c>
      <c r="J62" s="4" t="s">
        <v>135</v>
      </c>
      <c r="K62" s="4" t="s">
        <v>136</v>
      </c>
      <c r="L62" s="16" t="s">
        <v>208</v>
      </c>
    </row>
    <row r="63" spans="1:12" ht="24">
      <c r="A63" s="4" t="s">
        <v>119</v>
      </c>
      <c r="B63" s="4">
        <v>2021</v>
      </c>
      <c r="C63" s="4" t="s">
        <v>205</v>
      </c>
      <c r="D63" s="4" t="s">
        <v>138</v>
      </c>
      <c r="E63" s="4">
        <v>48.4</v>
      </c>
      <c r="F63" s="4" t="s">
        <v>139</v>
      </c>
      <c r="G63" s="4">
        <v>1</v>
      </c>
      <c r="H63" s="4" t="s">
        <v>140</v>
      </c>
      <c r="I63" s="4" t="s">
        <v>141</v>
      </c>
      <c r="J63" s="4" t="s">
        <v>148</v>
      </c>
      <c r="K63" s="4" t="s">
        <v>143</v>
      </c>
      <c r="L63" s="16" t="s">
        <v>144</v>
      </c>
    </row>
    <row r="64" spans="1:12" ht="24">
      <c r="A64" s="4" t="s">
        <v>119</v>
      </c>
      <c r="B64" s="4">
        <v>2021</v>
      </c>
      <c r="C64" s="4" t="s">
        <v>205</v>
      </c>
      <c r="D64" s="4" t="s">
        <v>145</v>
      </c>
      <c r="E64" s="4">
        <v>486.04</v>
      </c>
      <c r="F64" s="4" t="s">
        <v>146</v>
      </c>
      <c r="G64" s="4">
        <v>1</v>
      </c>
      <c r="H64" s="4" t="s">
        <v>147</v>
      </c>
      <c r="I64" s="4" t="s">
        <v>141</v>
      </c>
      <c r="J64" s="4" t="s">
        <v>148</v>
      </c>
      <c r="K64" s="4" t="s">
        <v>149</v>
      </c>
      <c r="L64" s="16" t="s">
        <v>150</v>
      </c>
    </row>
    <row r="65" spans="1:12" ht="24">
      <c r="A65" s="4" t="s">
        <v>119</v>
      </c>
      <c r="B65" s="4">
        <v>2021</v>
      </c>
      <c r="C65" s="4" t="s">
        <v>205</v>
      </c>
      <c r="D65" s="4" t="s">
        <v>151</v>
      </c>
      <c r="E65" s="4">
        <v>10.4</v>
      </c>
      <c r="F65" s="4" t="s">
        <v>139</v>
      </c>
      <c r="G65" s="4">
        <v>1</v>
      </c>
      <c r="H65" s="4" t="s">
        <v>152</v>
      </c>
      <c r="I65" s="4" t="s">
        <v>141</v>
      </c>
      <c r="J65" s="4" t="s">
        <v>148</v>
      </c>
      <c r="K65" s="4" t="s">
        <v>153</v>
      </c>
      <c r="L65" s="16" t="s">
        <v>154</v>
      </c>
    </row>
    <row r="66" spans="1:12" ht="24">
      <c r="A66" s="4" t="s">
        <v>119</v>
      </c>
      <c r="B66" s="4">
        <v>2021</v>
      </c>
      <c r="C66" s="4" t="s">
        <v>205</v>
      </c>
      <c r="D66" s="4" t="s">
        <v>155</v>
      </c>
      <c r="E66" s="4">
        <v>37.883365255393002</v>
      </c>
      <c r="F66" s="4" t="s">
        <v>156</v>
      </c>
      <c r="G66" s="4">
        <v>1</v>
      </c>
      <c r="H66" s="4" t="s">
        <v>157</v>
      </c>
      <c r="I66" s="4" t="s">
        <v>158</v>
      </c>
      <c r="J66" s="4" t="s">
        <v>159</v>
      </c>
      <c r="K66" s="4" t="s">
        <v>160</v>
      </c>
      <c r="L66" s="16" t="s">
        <v>161</v>
      </c>
    </row>
    <row r="67" spans="1:12" ht="24">
      <c r="A67" s="4" t="s">
        <v>119</v>
      </c>
      <c r="B67" s="4">
        <v>2021</v>
      </c>
      <c r="C67" s="4" t="s">
        <v>205</v>
      </c>
      <c r="D67" s="4" t="s">
        <v>162</v>
      </c>
      <c r="E67" s="4">
        <v>81</v>
      </c>
      <c r="F67" s="4" t="s">
        <v>163</v>
      </c>
      <c r="G67" s="4">
        <v>1</v>
      </c>
      <c r="H67" s="4" t="s">
        <v>164</v>
      </c>
      <c r="I67" s="4" t="s">
        <v>141</v>
      </c>
      <c r="J67" s="4" t="s">
        <v>148</v>
      </c>
      <c r="K67" s="4" t="s">
        <v>165</v>
      </c>
      <c r="L67" s="16" t="s">
        <v>166</v>
      </c>
    </row>
    <row r="68" spans="1:12" ht="24">
      <c r="A68" s="4" t="s">
        <v>119</v>
      </c>
      <c r="B68" s="4">
        <v>2021</v>
      </c>
      <c r="C68" s="4" t="s">
        <v>205</v>
      </c>
      <c r="D68" s="4" t="s">
        <v>167</v>
      </c>
      <c r="E68" s="4"/>
      <c r="F68" s="4" t="s">
        <v>168</v>
      </c>
      <c r="G68" s="4">
        <v>1000000</v>
      </c>
      <c r="H68" s="4" t="s">
        <v>169</v>
      </c>
      <c r="I68" s="4" t="s">
        <v>170</v>
      </c>
      <c r="J68" s="4" t="s">
        <v>171</v>
      </c>
      <c r="K68" s="4" t="s">
        <v>172</v>
      </c>
      <c r="L68" s="16" t="s">
        <v>173</v>
      </c>
    </row>
    <row r="69" spans="1:12" ht="24">
      <c r="A69" s="4" t="s">
        <v>119</v>
      </c>
      <c r="B69" s="4">
        <v>2021</v>
      </c>
      <c r="C69" s="4" t="s">
        <v>205</v>
      </c>
      <c r="D69" s="4" t="s">
        <v>174</v>
      </c>
      <c r="E69" s="4">
        <v>-4.3329520225764</v>
      </c>
      <c r="F69" s="4" t="s">
        <v>156</v>
      </c>
      <c r="G69" s="4">
        <v>1</v>
      </c>
      <c r="H69" s="4" t="s">
        <v>175</v>
      </c>
      <c r="I69" s="4" t="s">
        <v>176</v>
      </c>
      <c r="J69" s="4" t="s">
        <v>148</v>
      </c>
      <c r="K69" s="4" t="s">
        <v>177</v>
      </c>
      <c r="L69" s="16" t="s">
        <v>178</v>
      </c>
    </row>
    <row r="70" spans="1:12" ht="24">
      <c r="A70" s="4" t="s">
        <v>119</v>
      </c>
      <c r="B70" s="4">
        <v>2021</v>
      </c>
      <c r="C70" s="4" t="s">
        <v>205</v>
      </c>
      <c r="D70" s="4" t="s">
        <v>179</v>
      </c>
      <c r="E70" s="4">
        <v>45.808999999999997</v>
      </c>
      <c r="F70" s="4" t="s">
        <v>180</v>
      </c>
      <c r="G70" s="4">
        <v>1000000</v>
      </c>
      <c r="H70" s="4" t="s">
        <v>181</v>
      </c>
      <c r="I70" s="4" t="s">
        <v>141</v>
      </c>
      <c r="J70" s="4" t="s">
        <v>148</v>
      </c>
      <c r="K70" s="4" t="s">
        <v>182</v>
      </c>
      <c r="L70" s="16" t="s">
        <v>183</v>
      </c>
    </row>
    <row r="71" spans="1:12" ht="36">
      <c r="A71" s="4" t="s">
        <v>119</v>
      </c>
      <c r="B71" s="4">
        <v>2021</v>
      </c>
      <c r="C71" s="4" t="s">
        <v>205</v>
      </c>
      <c r="D71" s="4" t="s">
        <v>184</v>
      </c>
      <c r="E71" s="4">
        <v>6116121.6969644697</v>
      </c>
      <c r="F71" s="4" t="s">
        <v>185</v>
      </c>
      <c r="G71" s="4"/>
      <c r="H71" s="4" t="s">
        <v>186</v>
      </c>
      <c r="I71" s="4" t="s">
        <v>187</v>
      </c>
      <c r="J71" s="4" t="s">
        <v>188</v>
      </c>
      <c r="K71" s="4" t="s">
        <v>189</v>
      </c>
      <c r="L71" s="16" t="s">
        <v>190</v>
      </c>
    </row>
    <row r="72" spans="1:12" ht="24">
      <c r="A72" s="4" t="s">
        <v>119</v>
      </c>
      <c r="B72" s="4">
        <v>2021</v>
      </c>
      <c r="C72" s="4" t="s">
        <v>205</v>
      </c>
      <c r="D72" s="4" t="s">
        <v>191</v>
      </c>
      <c r="E72" s="4"/>
      <c r="F72" s="4" t="s">
        <v>168</v>
      </c>
      <c r="G72" s="4">
        <v>1000000</v>
      </c>
      <c r="H72" s="4" t="s">
        <v>169</v>
      </c>
      <c r="I72" s="4" t="s">
        <v>170</v>
      </c>
      <c r="J72" s="4" t="s">
        <v>171</v>
      </c>
      <c r="K72" s="4" t="s">
        <v>172</v>
      </c>
      <c r="L72" s="16" t="s">
        <v>173</v>
      </c>
    </row>
    <row r="73" spans="1:12" ht="24">
      <c r="A73" s="4" t="s">
        <v>119</v>
      </c>
      <c r="B73" s="4">
        <v>2021</v>
      </c>
      <c r="C73" s="4" t="s">
        <v>205</v>
      </c>
      <c r="D73" s="4" t="s">
        <v>192</v>
      </c>
      <c r="E73" s="4"/>
      <c r="F73" s="4" t="s">
        <v>168</v>
      </c>
      <c r="G73" s="4">
        <v>1000000</v>
      </c>
      <c r="H73" s="4" t="s">
        <v>169</v>
      </c>
      <c r="I73" s="4" t="s">
        <v>170</v>
      </c>
      <c r="J73" s="4" t="s">
        <v>171</v>
      </c>
      <c r="K73" s="4" t="s">
        <v>172</v>
      </c>
      <c r="L73" s="16" t="s">
        <v>173</v>
      </c>
    </row>
    <row r="74" spans="1:12" ht="24">
      <c r="A74" s="4" t="s">
        <v>119</v>
      </c>
      <c r="B74" s="4">
        <v>2022</v>
      </c>
      <c r="C74" s="4" t="s">
        <v>209</v>
      </c>
      <c r="D74" s="4" t="s">
        <v>131</v>
      </c>
      <c r="E74" s="4">
        <v>21540626.2493622</v>
      </c>
      <c r="F74" s="4" t="s">
        <v>168</v>
      </c>
      <c r="G74" s="4">
        <v>1000000</v>
      </c>
      <c r="H74" s="4" t="s">
        <v>206</v>
      </c>
      <c r="I74" s="4" t="s">
        <v>210</v>
      </c>
      <c r="J74" s="4" t="s">
        <v>135</v>
      </c>
      <c r="K74" s="4" t="s">
        <v>136</v>
      </c>
      <c r="L74" s="16" t="s">
        <v>211</v>
      </c>
    </row>
    <row r="75" spans="1:12" ht="24">
      <c r="A75" s="4" t="s">
        <v>119</v>
      </c>
      <c r="B75" s="4">
        <v>2022</v>
      </c>
      <c r="C75" s="4" t="s">
        <v>209</v>
      </c>
      <c r="D75" s="4" t="s">
        <v>138</v>
      </c>
      <c r="E75" s="4">
        <v>72.400000000000006</v>
      </c>
      <c r="F75" s="4" t="s">
        <v>139</v>
      </c>
      <c r="G75" s="4">
        <v>1</v>
      </c>
      <c r="H75" s="4" t="s">
        <v>140</v>
      </c>
      <c r="I75" s="4" t="s">
        <v>141</v>
      </c>
      <c r="J75" s="4" t="s">
        <v>148</v>
      </c>
      <c r="K75" s="4" t="s">
        <v>143</v>
      </c>
      <c r="L75" s="16" t="s">
        <v>144</v>
      </c>
    </row>
    <row r="76" spans="1:12" ht="24">
      <c r="A76" s="4" t="s">
        <v>119</v>
      </c>
      <c r="B76" s="4">
        <v>2022</v>
      </c>
      <c r="C76" s="4" t="s">
        <v>209</v>
      </c>
      <c r="D76" s="4" t="s">
        <v>145</v>
      </c>
      <c r="E76" s="4">
        <v>633.52</v>
      </c>
      <c r="F76" s="4" t="s">
        <v>146</v>
      </c>
      <c r="G76" s="4">
        <v>1</v>
      </c>
      <c r="H76" s="4" t="s">
        <v>147</v>
      </c>
      <c r="I76" s="4" t="s">
        <v>141</v>
      </c>
      <c r="J76" s="4" t="s">
        <v>148</v>
      </c>
      <c r="K76" s="4" t="s">
        <v>149</v>
      </c>
      <c r="L76" s="16" t="s">
        <v>150</v>
      </c>
    </row>
    <row r="77" spans="1:12" ht="24">
      <c r="A77" s="4" t="s">
        <v>119</v>
      </c>
      <c r="B77" s="4">
        <v>2022</v>
      </c>
      <c r="C77" s="4" t="s">
        <v>209</v>
      </c>
      <c r="D77" s="4" t="s">
        <v>151</v>
      </c>
      <c r="E77" s="4">
        <v>6</v>
      </c>
      <c r="F77" s="4" t="s">
        <v>139</v>
      </c>
      <c r="G77" s="4">
        <v>1</v>
      </c>
      <c r="H77" s="4" t="s">
        <v>152</v>
      </c>
      <c r="I77" s="4" t="s">
        <v>141</v>
      </c>
      <c r="J77" s="4" t="s">
        <v>148</v>
      </c>
      <c r="K77" s="4" t="s">
        <v>153</v>
      </c>
      <c r="L77" s="16" t="s">
        <v>154</v>
      </c>
    </row>
    <row r="78" spans="1:12" ht="24">
      <c r="A78" s="4" t="s">
        <v>119</v>
      </c>
      <c r="B78" s="4">
        <v>2022</v>
      </c>
      <c r="C78" s="4" t="s">
        <v>209</v>
      </c>
      <c r="D78" s="4" t="s">
        <v>155</v>
      </c>
      <c r="E78" s="4">
        <v>37.643122855601</v>
      </c>
      <c r="F78" s="4" t="s">
        <v>156</v>
      </c>
      <c r="G78" s="4">
        <v>1</v>
      </c>
      <c r="H78" s="4" t="s">
        <v>157</v>
      </c>
      <c r="I78" s="4" t="s">
        <v>158</v>
      </c>
      <c r="J78" s="4" t="s">
        <v>159</v>
      </c>
      <c r="K78" s="4" t="s">
        <v>160</v>
      </c>
      <c r="L78" s="16" t="s">
        <v>161</v>
      </c>
    </row>
    <row r="79" spans="1:12" ht="24">
      <c r="A79" s="4" t="s">
        <v>119</v>
      </c>
      <c r="B79" s="4">
        <v>2022</v>
      </c>
      <c r="C79" s="4" t="s">
        <v>209</v>
      </c>
      <c r="D79" s="4" t="s">
        <v>162</v>
      </c>
      <c r="E79" s="4">
        <v>84.3</v>
      </c>
      <c r="F79" s="4" t="s">
        <v>163</v>
      </c>
      <c r="G79" s="4">
        <v>1</v>
      </c>
      <c r="H79" s="4" t="s">
        <v>164</v>
      </c>
      <c r="I79" s="4" t="s">
        <v>141</v>
      </c>
      <c r="J79" s="4" t="s">
        <v>148</v>
      </c>
      <c r="K79" s="4" t="s">
        <v>165</v>
      </c>
      <c r="L79" s="16" t="s">
        <v>166</v>
      </c>
    </row>
    <row r="80" spans="1:12" ht="24">
      <c r="A80" s="4" t="s">
        <v>119</v>
      </c>
      <c r="B80" s="4">
        <v>2022</v>
      </c>
      <c r="C80" s="4" t="s">
        <v>209</v>
      </c>
      <c r="D80" s="4" t="s">
        <v>167</v>
      </c>
      <c r="E80" s="4"/>
      <c r="F80" s="4" t="s">
        <v>168</v>
      </c>
      <c r="G80" s="4">
        <v>1000000</v>
      </c>
      <c r="H80" s="4" t="s">
        <v>169</v>
      </c>
      <c r="I80" s="4" t="s">
        <v>170</v>
      </c>
      <c r="J80" s="4" t="s">
        <v>171</v>
      </c>
      <c r="K80" s="4" t="s">
        <v>172</v>
      </c>
      <c r="L80" s="16" t="s">
        <v>173</v>
      </c>
    </row>
    <row r="81" spans="1:12" ht="24">
      <c r="A81" s="4" t="s">
        <v>119</v>
      </c>
      <c r="B81" s="4">
        <v>2022</v>
      </c>
      <c r="C81" s="4" t="s">
        <v>209</v>
      </c>
      <c r="D81" s="4" t="s">
        <v>174</v>
      </c>
      <c r="E81" s="4">
        <v>-3.8363851046833002</v>
      </c>
      <c r="F81" s="4" t="s">
        <v>156</v>
      </c>
      <c r="G81" s="4">
        <v>1</v>
      </c>
      <c r="H81" s="4" t="s">
        <v>175</v>
      </c>
      <c r="I81" s="4" t="s">
        <v>176</v>
      </c>
      <c r="J81" s="4" t="s">
        <v>148</v>
      </c>
      <c r="K81" s="4" t="s">
        <v>177</v>
      </c>
      <c r="L81" s="16" t="s">
        <v>178</v>
      </c>
    </row>
    <row r="82" spans="1:12" ht="24">
      <c r="A82" s="4" t="s">
        <v>119</v>
      </c>
      <c r="B82" s="4">
        <v>2022</v>
      </c>
      <c r="C82" s="4" t="s">
        <v>209</v>
      </c>
      <c r="D82" s="4" t="s">
        <v>179</v>
      </c>
      <c r="E82" s="4">
        <v>46.234999999999999</v>
      </c>
      <c r="F82" s="4" t="s">
        <v>180</v>
      </c>
      <c r="G82" s="4">
        <v>1000000</v>
      </c>
      <c r="H82" s="4" t="s">
        <v>181</v>
      </c>
      <c r="I82" s="4" t="s">
        <v>141</v>
      </c>
      <c r="J82" s="4" t="s">
        <v>148</v>
      </c>
      <c r="K82" s="4" t="s">
        <v>182</v>
      </c>
      <c r="L82" s="16" t="s">
        <v>183</v>
      </c>
    </row>
    <row r="83" spans="1:12" ht="36">
      <c r="A83" s="4" t="s">
        <v>119</v>
      </c>
      <c r="B83" s="4">
        <v>2022</v>
      </c>
      <c r="C83" s="4" t="s">
        <v>209</v>
      </c>
      <c r="D83" s="4" t="s">
        <v>184</v>
      </c>
      <c r="E83" s="4">
        <v>11276056.768243499</v>
      </c>
      <c r="F83" s="4" t="s">
        <v>185</v>
      </c>
      <c r="G83" s="4"/>
      <c r="H83" s="4" t="s">
        <v>186</v>
      </c>
      <c r="I83" s="4" t="s">
        <v>187</v>
      </c>
      <c r="J83" s="4" t="s">
        <v>188</v>
      </c>
      <c r="K83" s="4" t="s">
        <v>189</v>
      </c>
      <c r="L83" s="16" t="s">
        <v>190</v>
      </c>
    </row>
    <row r="84" spans="1:12" ht="24">
      <c r="A84" s="4" t="s">
        <v>119</v>
      </c>
      <c r="B84" s="4">
        <v>2022</v>
      </c>
      <c r="C84" s="4" t="s">
        <v>209</v>
      </c>
      <c r="D84" s="4" t="s">
        <v>191</v>
      </c>
      <c r="E84" s="4"/>
      <c r="F84" s="4" t="s">
        <v>168</v>
      </c>
      <c r="G84" s="4">
        <v>1000000</v>
      </c>
      <c r="H84" s="4" t="s">
        <v>169</v>
      </c>
      <c r="I84" s="4" t="s">
        <v>170</v>
      </c>
      <c r="J84" s="4" t="s">
        <v>171</v>
      </c>
      <c r="K84" s="4" t="s">
        <v>172</v>
      </c>
      <c r="L84" s="16" t="s">
        <v>173</v>
      </c>
    </row>
    <row r="85" spans="1:12" ht="24">
      <c r="A85" s="4" t="s">
        <v>119</v>
      </c>
      <c r="B85" s="4">
        <v>2022</v>
      </c>
      <c r="C85" s="4" t="s">
        <v>209</v>
      </c>
      <c r="D85" s="4" t="s">
        <v>192</v>
      </c>
      <c r="E85" s="4"/>
      <c r="F85" s="4" t="s">
        <v>168</v>
      </c>
      <c r="G85" s="4">
        <v>1000000</v>
      </c>
      <c r="H85" s="4" t="s">
        <v>169</v>
      </c>
      <c r="I85" s="4" t="s">
        <v>170</v>
      </c>
      <c r="J85" s="4" t="s">
        <v>171</v>
      </c>
      <c r="K85" s="4" t="s">
        <v>172</v>
      </c>
      <c r="L85" s="16" t="s">
        <v>173</v>
      </c>
    </row>
    <row r="86" spans="1:12" ht="24">
      <c r="A86" s="4" t="s">
        <v>119</v>
      </c>
      <c r="B86" s="4">
        <v>2023</v>
      </c>
      <c r="C86" s="4" t="s">
        <v>212</v>
      </c>
      <c r="D86" s="4" t="s">
        <v>131</v>
      </c>
      <c r="E86" s="4">
        <v>46463191.275416598</v>
      </c>
      <c r="F86" s="4" t="s">
        <v>168</v>
      </c>
      <c r="G86" s="4">
        <v>1000000</v>
      </c>
      <c r="H86" s="4" t="s">
        <v>206</v>
      </c>
      <c r="I86" s="4" t="s">
        <v>213</v>
      </c>
      <c r="J86" s="4" t="s">
        <v>135</v>
      </c>
      <c r="K86" s="4" t="s">
        <v>136</v>
      </c>
      <c r="L86" s="16" t="s">
        <v>214</v>
      </c>
    </row>
    <row r="87" spans="1:12" ht="24">
      <c r="A87" s="4" t="s">
        <v>119</v>
      </c>
      <c r="B87" s="4">
        <v>2023</v>
      </c>
      <c r="C87" s="4" t="s">
        <v>212</v>
      </c>
      <c r="D87" s="4" t="s">
        <v>138</v>
      </c>
      <c r="E87" s="4">
        <v>133.5</v>
      </c>
      <c r="F87" s="4" t="s">
        <v>139</v>
      </c>
      <c r="G87" s="4">
        <v>1</v>
      </c>
      <c r="H87" s="4" t="s">
        <v>140</v>
      </c>
      <c r="I87" s="4" t="s">
        <v>141</v>
      </c>
      <c r="J87" s="4" t="s">
        <v>148</v>
      </c>
      <c r="K87" s="4" t="s">
        <v>143</v>
      </c>
      <c r="L87" s="16" t="s">
        <v>144</v>
      </c>
    </row>
    <row r="88" spans="1:12" ht="24">
      <c r="A88" s="4" t="s">
        <v>119</v>
      </c>
      <c r="B88" s="4">
        <v>2023</v>
      </c>
      <c r="C88" s="4" t="s">
        <v>212</v>
      </c>
      <c r="D88" s="4" t="s">
        <v>145</v>
      </c>
      <c r="E88" s="4">
        <v>654.08100000000002</v>
      </c>
      <c r="F88" s="4" t="s">
        <v>146</v>
      </c>
      <c r="G88" s="4">
        <v>1</v>
      </c>
      <c r="H88" s="4" t="s">
        <v>147</v>
      </c>
      <c r="I88" s="4" t="s">
        <v>141</v>
      </c>
      <c r="J88" s="4" t="s">
        <v>148</v>
      </c>
      <c r="K88" s="4" t="s">
        <v>149</v>
      </c>
      <c r="L88" s="16" t="s">
        <v>150</v>
      </c>
    </row>
    <row r="89" spans="1:12" ht="24">
      <c r="A89" s="4" t="s">
        <v>119</v>
      </c>
      <c r="B89" s="4">
        <v>2023</v>
      </c>
      <c r="C89" s="4" t="s">
        <v>212</v>
      </c>
      <c r="D89" s="4" t="s">
        <v>151</v>
      </c>
      <c r="E89" s="4">
        <v>-1.9</v>
      </c>
      <c r="F89" s="4" t="s">
        <v>139</v>
      </c>
      <c r="G89" s="4">
        <v>1</v>
      </c>
      <c r="H89" s="4" t="s">
        <v>152</v>
      </c>
      <c r="I89" s="4" t="s">
        <v>141</v>
      </c>
      <c r="J89" s="4" t="s">
        <v>148</v>
      </c>
      <c r="K89" s="4" t="s">
        <v>153</v>
      </c>
      <c r="L89" s="16" t="s">
        <v>154</v>
      </c>
    </row>
    <row r="90" spans="1:12" ht="24">
      <c r="A90" s="4" t="s">
        <v>119</v>
      </c>
      <c r="B90" s="4">
        <v>2023</v>
      </c>
      <c r="C90" s="4" t="s">
        <v>212</v>
      </c>
      <c r="D90" s="4" t="s">
        <v>155</v>
      </c>
      <c r="E90" s="4">
        <v>37.637348191849</v>
      </c>
      <c r="F90" s="4" t="s">
        <v>156</v>
      </c>
      <c r="G90" s="4">
        <v>1</v>
      </c>
      <c r="H90" s="4" t="s">
        <v>157</v>
      </c>
      <c r="I90" s="4" t="s">
        <v>158</v>
      </c>
      <c r="J90" s="4" t="s">
        <v>159</v>
      </c>
      <c r="K90" s="4" t="s">
        <v>160</v>
      </c>
      <c r="L90" s="16" t="s">
        <v>161</v>
      </c>
    </row>
    <row r="91" spans="1:12" ht="24">
      <c r="A91" s="4" t="s">
        <v>119</v>
      </c>
      <c r="B91" s="4">
        <v>2023</v>
      </c>
      <c r="C91" s="4" t="s">
        <v>212</v>
      </c>
      <c r="D91" s="4" t="s">
        <v>162</v>
      </c>
      <c r="E91" s="4">
        <v>153.4</v>
      </c>
      <c r="F91" s="4" t="s">
        <v>163</v>
      </c>
      <c r="G91" s="4">
        <v>1</v>
      </c>
      <c r="H91" s="4" t="s">
        <v>164</v>
      </c>
      <c r="I91" s="4" t="s">
        <v>141</v>
      </c>
      <c r="J91" s="4" t="s">
        <v>148</v>
      </c>
      <c r="K91" s="4" t="s">
        <v>165</v>
      </c>
      <c r="L91" s="16" t="s">
        <v>166</v>
      </c>
    </row>
    <row r="92" spans="1:12" ht="24">
      <c r="A92" s="4" t="s">
        <v>119</v>
      </c>
      <c r="B92" s="4">
        <v>2023</v>
      </c>
      <c r="C92" s="4" t="s">
        <v>212</v>
      </c>
      <c r="D92" s="4" t="s">
        <v>167</v>
      </c>
      <c r="E92" s="4"/>
      <c r="F92" s="4" t="s">
        <v>168</v>
      </c>
      <c r="G92" s="4">
        <v>1000000</v>
      </c>
      <c r="H92" s="4" t="s">
        <v>169</v>
      </c>
      <c r="I92" s="4" t="s">
        <v>170</v>
      </c>
      <c r="J92" s="4" t="s">
        <v>171</v>
      </c>
      <c r="K92" s="4" t="s">
        <v>172</v>
      </c>
      <c r="L92" s="16" t="s">
        <v>173</v>
      </c>
    </row>
    <row r="93" spans="1:12" ht="24">
      <c r="A93" s="4" t="s">
        <v>119</v>
      </c>
      <c r="B93" s="4">
        <v>2023</v>
      </c>
      <c r="C93" s="4" t="s">
        <v>212</v>
      </c>
      <c r="D93" s="4" t="s">
        <v>174</v>
      </c>
      <c r="E93" s="4">
        <v>-5.2809834443614001</v>
      </c>
      <c r="F93" s="4" t="s">
        <v>156</v>
      </c>
      <c r="G93" s="4">
        <v>1</v>
      </c>
      <c r="H93" s="4" t="s">
        <v>175</v>
      </c>
      <c r="I93" s="4" t="s">
        <v>176</v>
      </c>
      <c r="J93" s="4" t="s">
        <v>148</v>
      </c>
      <c r="K93" s="4" t="s">
        <v>177</v>
      </c>
      <c r="L93" s="16" t="s">
        <v>178</v>
      </c>
    </row>
    <row r="94" spans="1:12" ht="24">
      <c r="A94" s="4" t="s">
        <v>119</v>
      </c>
      <c r="B94" s="4">
        <v>2023</v>
      </c>
      <c r="C94" s="4" t="s">
        <v>212</v>
      </c>
      <c r="D94" s="4" t="s">
        <v>179</v>
      </c>
      <c r="E94" s="4">
        <v>46.655000000000001</v>
      </c>
      <c r="F94" s="4" t="s">
        <v>180</v>
      </c>
      <c r="G94" s="4">
        <v>1000000</v>
      </c>
      <c r="H94" s="4" t="s">
        <v>181</v>
      </c>
      <c r="I94" s="4" t="s">
        <v>141</v>
      </c>
      <c r="J94" s="4" t="s">
        <v>148</v>
      </c>
      <c r="K94" s="4" t="s">
        <v>182</v>
      </c>
      <c r="L94" s="16" t="s">
        <v>183</v>
      </c>
    </row>
    <row r="95" spans="1:12" ht="36">
      <c r="A95" s="4" t="s">
        <v>119</v>
      </c>
      <c r="B95" s="4">
        <v>2023</v>
      </c>
      <c r="C95" s="4" t="s">
        <v>212</v>
      </c>
      <c r="D95" s="4" t="s">
        <v>184</v>
      </c>
      <c r="E95" s="4">
        <v>25030205.134151001</v>
      </c>
      <c r="F95" s="4" t="s">
        <v>185</v>
      </c>
      <c r="G95" s="4"/>
      <c r="H95" s="4" t="s">
        <v>186</v>
      </c>
      <c r="I95" s="4" t="s">
        <v>187</v>
      </c>
      <c r="J95" s="4" t="s">
        <v>188</v>
      </c>
      <c r="K95" s="4" t="s">
        <v>189</v>
      </c>
      <c r="L95" s="16" t="s">
        <v>190</v>
      </c>
    </row>
    <row r="96" spans="1:12" ht="24">
      <c r="A96" s="4" t="s">
        <v>119</v>
      </c>
      <c r="B96" s="4">
        <v>2023</v>
      </c>
      <c r="C96" s="4" t="s">
        <v>212</v>
      </c>
      <c r="D96" s="4" t="s">
        <v>191</v>
      </c>
      <c r="E96" s="4"/>
      <c r="F96" s="4" t="s">
        <v>168</v>
      </c>
      <c r="G96" s="4">
        <v>1000000</v>
      </c>
      <c r="H96" s="4" t="s">
        <v>169</v>
      </c>
      <c r="I96" s="4" t="s">
        <v>170</v>
      </c>
      <c r="J96" s="4" t="s">
        <v>171</v>
      </c>
      <c r="K96" s="4" t="s">
        <v>172</v>
      </c>
      <c r="L96" s="16" t="s">
        <v>173</v>
      </c>
    </row>
    <row r="97" spans="1:12" ht="24">
      <c r="A97" s="4" t="s">
        <v>119</v>
      </c>
      <c r="B97" s="4">
        <v>2023</v>
      </c>
      <c r="C97" s="4" t="s">
        <v>212</v>
      </c>
      <c r="D97" s="4" t="s">
        <v>192</v>
      </c>
      <c r="E97" s="4"/>
      <c r="F97" s="4" t="s">
        <v>168</v>
      </c>
      <c r="G97" s="4">
        <v>1000000</v>
      </c>
      <c r="H97" s="4" t="s">
        <v>169</v>
      </c>
      <c r="I97" s="4" t="s">
        <v>170</v>
      </c>
      <c r="J97" s="4" t="s">
        <v>171</v>
      </c>
      <c r="K97" s="4" t="s">
        <v>172</v>
      </c>
      <c r="L97" s="16" t="s">
        <v>173</v>
      </c>
    </row>
    <row r="98" spans="1:12" ht="24">
      <c r="A98" s="4" t="s">
        <v>119</v>
      </c>
      <c r="B98" s="4">
        <v>2024</v>
      </c>
      <c r="C98" s="4" t="s">
        <v>215</v>
      </c>
      <c r="D98" s="4" t="s">
        <v>131</v>
      </c>
      <c r="E98" s="4">
        <v>142031453.04916501</v>
      </c>
      <c r="F98" s="4" t="s">
        <v>168</v>
      </c>
      <c r="G98" s="4">
        <v>1000000</v>
      </c>
      <c r="H98" s="4" t="s">
        <v>206</v>
      </c>
      <c r="I98" s="4" t="s">
        <v>216</v>
      </c>
      <c r="J98" s="4" t="s">
        <v>135</v>
      </c>
      <c r="K98" s="4" t="s">
        <v>136</v>
      </c>
      <c r="L98" s="16" t="s">
        <v>217</v>
      </c>
    </row>
    <row r="99" spans="1:12" ht="24">
      <c r="A99" s="4" t="s">
        <v>119</v>
      </c>
      <c r="B99" s="4">
        <v>2024</v>
      </c>
      <c r="C99" s="4" t="s">
        <v>215</v>
      </c>
      <c r="D99" s="4" t="s">
        <v>138</v>
      </c>
      <c r="E99" s="4">
        <v>219.9</v>
      </c>
      <c r="F99" s="4" t="s">
        <v>139</v>
      </c>
      <c r="G99" s="4">
        <v>1</v>
      </c>
      <c r="H99" s="4" t="s">
        <v>140</v>
      </c>
      <c r="I99" s="4" t="s">
        <v>141</v>
      </c>
      <c r="J99" s="4" t="s">
        <v>148</v>
      </c>
      <c r="K99" s="4" t="s">
        <v>143</v>
      </c>
      <c r="L99" s="16" t="s">
        <v>144</v>
      </c>
    </row>
    <row r="100" spans="1:12" ht="24">
      <c r="A100" s="4" t="s">
        <v>119</v>
      </c>
      <c r="B100" s="4">
        <v>2024</v>
      </c>
      <c r="C100" s="4" t="s">
        <v>215</v>
      </c>
      <c r="D100" s="4" t="s">
        <v>145</v>
      </c>
      <c r="E100" s="4">
        <v>637.74400000000003</v>
      </c>
      <c r="F100" s="4" t="s">
        <v>146</v>
      </c>
      <c r="G100" s="4">
        <v>1</v>
      </c>
      <c r="H100" s="4" t="s">
        <v>147</v>
      </c>
      <c r="I100" s="4" t="s">
        <v>141</v>
      </c>
      <c r="J100" s="4" t="s">
        <v>148</v>
      </c>
      <c r="K100" s="4" t="s">
        <v>149</v>
      </c>
      <c r="L100" s="16" t="s">
        <v>150</v>
      </c>
    </row>
    <row r="101" spans="1:12" ht="24">
      <c r="A101" s="4" t="s">
        <v>119</v>
      </c>
      <c r="B101" s="4">
        <v>2024</v>
      </c>
      <c r="C101" s="4" t="s">
        <v>215</v>
      </c>
      <c r="D101" s="4" t="s">
        <v>151</v>
      </c>
      <c r="E101" s="4">
        <v>-1.4</v>
      </c>
      <c r="F101" s="4" t="s">
        <v>139</v>
      </c>
      <c r="G101" s="4">
        <v>1</v>
      </c>
      <c r="H101" s="4" t="s">
        <v>152</v>
      </c>
      <c r="I101" s="4" t="s">
        <v>141</v>
      </c>
      <c r="J101" s="4" t="s">
        <v>148</v>
      </c>
      <c r="K101" s="4" t="s">
        <v>153</v>
      </c>
      <c r="L101" s="16" t="s">
        <v>154</v>
      </c>
    </row>
    <row r="102" spans="1:12" ht="24">
      <c r="A102" s="4" t="s">
        <v>119</v>
      </c>
      <c r="B102" s="4">
        <v>2024</v>
      </c>
      <c r="C102" s="4" t="s">
        <v>215</v>
      </c>
      <c r="D102" s="4" t="s">
        <v>155</v>
      </c>
      <c r="E102" s="4">
        <v>31.019181588171001</v>
      </c>
      <c r="F102" s="4" t="s">
        <v>156</v>
      </c>
      <c r="G102" s="4">
        <v>1</v>
      </c>
      <c r="H102" s="4" t="s">
        <v>157</v>
      </c>
      <c r="I102" s="4" t="s">
        <v>158</v>
      </c>
      <c r="J102" s="4" t="s">
        <v>159</v>
      </c>
      <c r="K102" s="4" t="s">
        <v>160</v>
      </c>
      <c r="L102" s="16" t="s">
        <v>161</v>
      </c>
    </row>
    <row r="103" spans="1:12" ht="24">
      <c r="A103" s="4" t="s">
        <v>119</v>
      </c>
      <c r="B103" s="4">
        <v>2024</v>
      </c>
      <c r="C103" s="4" t="s">
        <v>215</v>
      </c>
      <c r="D103" s="4" t="s">
        <v>162</v>
      </c>
      <c r="E103" s="4">
        <v>84.6</v>
      </c>
      <c r="F103" s="4" t="s">
        <v>163</v>
      </c>
      <c r="G103" s="4">
        <v>1</v>
      </c>
      <c r="H103" s="4" t="s">
        <v>164</v>
      </c>
      <c r="I103" s="4" t="s">
        <v>141</v>
      </c>
      <c r="J103" s="4" t="s">
        <v>148</v>
      </c>
      <c r="K103" s="4" t="s">
        <v>165</v>
      </c>
      <c r="L103" s="16" t="s">
        <v>166</v>
      </c>
    </row>
    <row r="104" spans="1:12" ht="24">
      <c r="A104" s="4" t="s">
        <v>119</v>
      </c>
      <c r="B104" s="4">
        <v>2024</v>
      </c>
      <c r="C104" s="4" t="s">
        <v>215</v>
      </c>
      <c r="D104" s="4" t="s">
        <v>167</v>
      </c>
      <c r="E104" s="4"/>
      <c r="F104" s="4" t="s">
        <v>168</v>
      </c>
      <c r="G104" s="4">
        <v>1000000</v>
      </c>
      <c r="H104" s="4" t="s">
        <v>169</v>
      </c>
      <c r="I104" s="4" t="s">
        <v>170</v>
      </c>
      <c r="J104" s="4" t="s">
        <v>171</v>
      </c>
      <c r="K104" s="4" t="s">
        <v>172</v>
      </c>
      <c r="L104" s="16" t="s">
        <v>173</v>
      </c>
    </row>
    <row r="105" spans="1:12" ht="24">
      <c r="A105" s="4" t="s">
        <v>119</v>
      </c>
      <c r="B105" s="4">
        <v>2024</v>
      </c>
      <c r="C105" s="4" t="s">
        <v>215</v>
      </c>
      <c r="D105" s="4" t="s">
        <v>174</v>
      </c>
      <c r="E105" s="4">
        <v>0.45837828974321998</v>
      </c>
      <c r="F105" s="4" t="s">
        <v>156</v>
      </c>
      <c r="G105" s="4">
        <v>1</v>
      </c>
      <c r="H105" s="4" t="s">
        <v>175</v>
      </c>
      <c r="I105" s="4" t="s">
        <v>176</v>
      </c>
      <c r="J105" s="4" t="s">
        <v>148</v>
      </c>
      <c r="K105" s="4" t="s">
        <v>177</v>
      </c>
      <c r="L105" s="16" t="s">
        <v>178</v>
      </c>
    </row>
    <row r="106" spans="1:12" ht="24">
      <c r="A106" s="4" t="s">
        <v>119</v>
      </c>
      <c r="B106" s="4">
        <v>2024</v>
      </c>
      <c r="C106" s="4" t="s">
        <v>215</v>
      </c>
      <c r="D106" s="4" t="s">
        <v>179</v>
      </c>
      <c r="E106" s="4">
        <v>47.067999999999998</v>
      </c>
      <c r="F106" s="4" t="s">
        <v>180</v>
      </c>
      <c r="G106" s="4">
        <v>1000000</v>
      </c>
      <c r="H106" s="4" t="s">
        <v>181</v>
      </c>
      <c r="I106" s="4" t="s">
        <v>141</v>
      </c>
      <c r="J106" s="4" t="s">
        <v>148</v>
      </c>
      <c r="K106" s="4" t="s">
        <v>182</v>
      </c>
      <c r="L106" s="16" t="s">
        <v>183</v>
      </c>
    </row>
    <row r="107" spans="1:12" ht="36">
      <c r="A107" s="4" t="s">
        <v>119</v>
      </c>
      <c r="B107" s="4">
        <v>2024</v>
      </c>
      <c r="C107" s="4" t="s">
        <v>215</v>
      </c>
      <c r="D107" s="4" t="s">
        <v>184</v>
      </c>
      <c r="E107" s="4">
        <v>73874240.213494703</v>
      </c>
      <c r="F107" s="4" t="s">
        <v>185</v>
      </c>
      <c r="G107" s="4"/>
      <c r="H107" s="4" t="s">
        <v>186</v>
      </c>
      <c r="I107" s="4" t="s">
        <v>187</v>
      </c>
      <c r="J107" s="4" t="s">
        <v>188</v>
      </c>
      <c r="K107" s="4" t="s">
        <v>189</v>
      </c>
      <c r="L107" s="16" t="s">
        <v>190</v>
      </c>
    </row>
    <row r="108" spans="1:12" ht="24">
      <c r="A108" s="4" t="s">
        <v>119</v>
      </c>
      <c r="B108" s="4">
        <v>2024</v>
      </c>
      <c r="C108" s="4" t="s">
        <v>215</v>
      </c>
      <c r="D108" s="4" t="s">
        <v>191</v>
      </c>
      <c r="E108" s="4"/>
      <c r="F108" s="4" t="s">
        <v>168</v>
      </c>
      <c r="G108" s="4">
        <v>1000000</v>
      </c>
      <c r="H108" s="4" t="s">
        <v>169</v>
      </c>
      <c r="I108" s="4" t="s">
        <v>170</v>
      </c>
      <c r="J108" s="4" t="s">
        <v>171</v>
      </c>
      <c r="K108" s="4" t="s">
        <v>172</v>
      </c>
      <c r="L108" s="16" t="s">
        <v>173</v>
      </c>
    </row>
    <row r="109" spans="1:12" ht="24">
      <c r="A109" s="4" t="s">
        <v>119</v>
      </c>
      <c r="B109" s="4">
        <v>2024</v>
      </c>
      <c r="C109" s="4" t="s">
        <v>215</v>
      </c>
      <c r="D109" s="4" t="s">
        <v>192</v>
      </c>
      <c r="E109" s="4"/>
      <c r="F109" s="4" t="s">
        <v>168</v>
      </c>
      <c r="G109" s="4">
        <v>1000000</v>
      </c>
      <c r="H109" s="4" t="s">
        <v>169</v>
      </c>
      <c r="I109" s="4" t="s">
        <v>170</v>
      </c>
      <c r="J109" s="4" t="s">
        <v>171</v>
      </c>
      <c r="K109" s="4" t="s">
        <v>172</v>
      </c>
      <c r="L109" s="16" t="s">
        <v>173</v>
      </c>
    </row>
    <row r="110" spans="1:12" ht="24">
      <c r="A110" s="4" t="s">
        <v>119</v>
      </c>
      <c r="B110" s="4">
        <v>2025</v>
      </c>
      <c r="C110" s="4" t="s">
        <v>218</v>
      </c>
      <c r="D110" s="4" t="s">
        <v>131</v>
      </c>
      <c r="E110" s="4">
        <v>200448446.615565</v>
      </c>
      <c r="F110" s="4" t="s">
        <v>168</v>
      </c>
      <c r="G110" s="4">
        <v>1000000</v>
      </c>
      <c r="H110" s="4" t="s">
        <v>206</v>
      </c>
      <c r="I110" s="4" t="s">
        <v>219</v>
      </c>
      <c r="J110" s="4" t="s">
        <v>135</v>
      </c>
      <c r="K110" s="4" t="s">
        <v>136</v>
      </c>
      <c r="L110" s="16" t="s">
        <v>220</v>
      </c>
    </row>
    <row r="111" spans="1:12" ht="24">
      <c r="A111" s="4" t="s">
        <v>119</v>
      </c>
      <c r="B111" s="4">
        <v>2025</v>
      </c>
      <c r="C111" s="4" t="s">
        <v>218</v>
      </c>
      <c r="D111" s="4" t="s">
        <v>138</v>
      </c>
      <c r="E111" s="4">
        <v>41.9</v>
      </c>
      <c r="F111" s="4" t="s">
        <v>139</v>
      </c>
      <c r="G111" s="4">
        <v>1</v>
      </c>
      <c r="H111" s="4" t="s">
        <v>140</v>
      </c>
      <c r="I111" s="4" t="s">
        <v>141</v>
      </c>
      <c r="J111" s="4" t="s">
        <v>148</v>
      </c>
      <c r="K111" s="4" t="s">
        <v>143</v>
      </c>
      <c r="L111" s="16" t="s">
        <v>144</v>
      </c>
    </row>
    <row r="112" spans="1:12" ht="24">
      <c r="A112" s="4" t="s">
        <v>119</v>
      </c>
      <c r="B112" s="4">
        <v>2025</v>
      </c>
      <c r="C112" s="4" t="s">
        <v>218</v>
      </c>
      <c r="D112" s="4" t="s">
        <v>145</v>
      </c>
      <c r="E112" s="4">
        <v>683.58900000000006</v>
      </c>
      <c r="F112" s="4" t="s">
        <v>146</v>
      </c>
      <c r="G112" s="4">
        <v>1</v>
      </c>
      <c r="H112" s="4" t="s">
        <v>147</v>
      </c>
      <c r="I112" s="4" t="s">
        <v>141</v>
      </c>
      <c r="J112" s="4" t="s">
        <v>148</v>
      </c>
      <c r="K112" s="4" t="s">
        <v>149</v>
      </c>
      <c r="L112" s="16" t="s">
        <v>150</v>
      </c>
    </row>
    <row r="113" spans="1:12" ht="24">
      <c r="A113" s="4" t="s">
        <v>119</v>
      </c>
      <c r="B113" s="4">
        <v>2025</v>
      </c>
      <c r="C113" s="4" t="s">
        <v>218</v>
      </c>
      <c r="D113" s="4" t="s">
        <v>151</v>
      </c>
      <c r="E113" s="4">
        <v>4.5</v>
      </c>
      <c r="F113" s="4" t="s">
        <v>139</v>
      </c>
      <c r="G113" s="4">
        <v>1</v>
      </c>
      <c r="H113" s="4" t="s">
        <v>152</v>
      </c>
      <c r="I113" s="4" t="s">
        <v>141</v>
      </c>
      <c r="J113" s="4" t="s">
        <v>148</v>
      </c>
      <c r="K113" s="4" t="s">
        <v>153</v>
      </c>
      <c r="L113" s="16" t="s">
        <v>154</v>
      </c>
    </row>
    <row r="114" spans="1:12" ht="24">
      <c r="A114" s="4" t="s">
        <v>119</v>
      </c>
      <c r="B114" s="4">
        <v>2025</v>
      </c>
      <c r="C114" s="4" t="s">
        <v>218</v>
      </c>
      <c r="D114" s="4" t="s">
        <v>155</v>
      </c>
      <c r="E114" s="4"/>
      <c r="F114" s="4" t="s">
        <v>156</v>
      </c>
      <c r="G114" s="4">
        <v>1</v>
      </c>
      <c r="H114" s="4" t="s">
        <v>157</v>
      </c>
      <c r="I114" s="4" t="s">
        <v>158</v>
      </c>
      <c r="J114" s="4" t="s">
        <v>142</v>
      </c>
      <c r="K114" s="4" t="s">
        <v>160</v>
      </c>
      <c r="L114" s="16" t="s">
        <v>161</v>
      </c>
    </row>
    <row r="115" spans="1:12" ht="24">
      <c r="A115" s="4" t="s">
        <v>119</v>
      </c>
      <c r="B115" s="4">
        <v>2025</v>
      </c>
      <c r="C115" s="4" t="s">
        <v>218</v>
      </c>
      <c r="D115" s="4" t="s">
        <v>162</v>
      </c>
      <c r="E115" s="4">
        <v>80.099999999999994</v>
      </c>
      <c r="F115" s="4" t="s">
        <v>163</v>
      </c>
      <c r="G115" s="4">
        <v>1</v>
      </c>
      <c r="H115" s="4" t="s">
        <v>164</v>
      </c>
      <c r="I115" s="4" t="s">
        <v>141</v>
      </c>
      <c r="J115" s="4" t="s">
        <v>148</v>
      </c>
      <c r="K115" s="4" t="s">
        <v>165</v>
      </c>
      <c r="L115" s="16" t="s">
        <v>166</v>
      </c>
    </row>
    <row r="116" spans="1:12" ht="24">
      <c r="A116" s="4" t="s">
        <v>119</v>
      </c>
      <c r="B116" s="4">
        <v>2025</v>
      </c>
      <c r="C116" s="4" t="s">
        <v>218</v>
      </c>
      <c r="D116" s="4" t="s">
        <v>167</v>
      </c>
      <c r="E116" s="4">
        <v>10315400</v>
      </c>
      <c r="F116" s="4" t="s">
        <v>168</v>
      </c>
      <c r="G116" s="4">
        <v>1000000</v>
      </c>
      <c r="H116" s="4" t="s">
        <v>169</v>
      </c>
      <c r="I116" s="4" t="s">
        <v>170</v>
      </c>
      <c r="J116" s="4" t="s">
        <v>171</v>
      </c>
      <c r="K116" s="4" t="s">
        <v>172</v>
      </c>
      <c r="L116" s="16" t="s">
        <v>173</v>
      </c>
    </row>
    <row r="117" spans="1:12" ht="24">
      <c r="A117" s="4" t="s">
        <v>119</v>
      </c>
      <c r="B117" s="4">
        <v>2025</v>
      </c>
      <c r="C117" s="4" t="s">
        <v>218</v>
      </c>
      <c r="D117" s="4" t="s">
        <v>174</v>
      </c>
      <c r="E117" s="4">
        <v>-0.15602148746002001</v>
      </c>
      <c r="F117" s="4" t="s">
        <v>156</v>
      </c>
      <c r="G117" s="4">
        <v>1</v>
      </c>
      <c r="H117" s="4" t="s">
        <v>175</v>
      </c>
      <c r="I117" s="4" t="s">
        <v>176</v>
      </c>
      <c r="J117" s="4" t="s">
        <v>148</v>
      </c>
      <c r="K117" s="4" t="s">
        <v>177</v>
      </c>
      <c r="L117" s="16" t="s">
        <v>178</v>
      </c>
    </row>
    <row r="118" spans="1:12" ht="24">
      <c r="A118" s="4" t="s">
        <v>119</v>
      </c>
      <c r="B118" s="4">
        <v>2025</v>
      </c>
      <c r="C118" s="4" t="s">
        <v>218</v>
      </c>
      <c r="D118" s="4" t="s">
        <v>179</v>
      </c>
      <c r="E118" s="4">
        <v>47.473999999999997</v>
      </c>
      <c r="F118" s="4" t="s">
        <v>180</v>
      </c>
      <c r="G118" s="4">
        <v>1000000</v>
      </c>
      <c r="H118" s="4" t="s">
        <v>181</v>
      </c>
      <c r="I118" s="4" t="s">
        <v>141</v>
      </c>
      <c r="J118" s="4" t="s">
        <v>148</v>
      </c>
      <c r="K118" s="4" t="s">
        <v>182</v>
      </c>
      <c r="L118" s="16" t="s">
        <v>183</v>
      </c>
    </row>
    <row r="119" spans="1:12" ht="36">
      <c r="A119" s="4" t="s">
        <v>119</v>
      </c>
      <c r="B119" s="4">
        <v>2025</v>
      </c>
      <c r="C119" s="4" t="s">
        <v>218</v>
      </c>
      <c r="D119" s="4" t="s">
        <v>184</v>
      </c>
      <c r="E119" s="4">
        <v>103974131.898352</v>
      </c>
      <c r="F119" s="4" t="s">
        <v>185</v>
      </c>
      <c r="G119" s="4"/>
      <c r="H119" s="4" t="s">
        <v>221</v>
      </c>
      <c r="I119" s="4" t="s">
        <v>187</v>
      </c>
      <c r="J119" s="4" t="s">
        <v>188</v>
      </c>
      <c r="K119" s="4" t="s">
        <v>189</v>
      </c>
      <c r="L119" s="16" t="s">
        <v>190</v>
      </c>
    </row>
    <row r="120" spans="1:12" ht="24">
      <c r="A120" s="4" t="s">
        <v>119</v>
      </c>
      <c r="B120" s="4">
        <v>2025</v>
      </c>
      <c r="C120" s="4" t="s">
        <v>218</v>
      </c>
      <c r="D120" s="4" t="s">
        <v>191</v>
      </c>
      <c r="E120" s="4">
        <v>1453819</v>
      </c>
      <c r="F120" s="4" t="s">
        <v>168</v>
      </c>
      <c r="G120" s="4">
        <v>1000000</v>
      </c>
      <c r="H120" s="4" t="s">
        <v>169</v>
      </c>
      <c r="I120" s="4" t="s">
        <v>170</v>
      </c>
      <c r="J120" s="4" t="s">
        <v>171</v>
      </c>
      <c r="K120" s="4" t="s">
        <v>172</v>
      </c>
      <c r="L120" s="16" t="s">
        <v>173</v>
      </c>
    </row>
    <row r="121" spans="1:12" ht="24">
      <c r="A121" s="4" t="s">
        <v>119</v>
      </c>
      <c r="B121" s="4">
        <v>2025</v>
      </c>
      <c r="C121" s="4" t="s">
        <v>218</v>
      </c>
      <c r="D121" s="4" t="s">
        <v>192</v>
      </c>
      <c r="E121" s="4">
        <v>11769219</v>
      </c>
      <c r="F121" s="4" t="s">
        <v>168</v>
      </c>
      <c r="G121" s="4">
        <v>1000000</v>
      </c>
      <c r="H121" s="4" t="s">
        <v>169</v>
      </c>
      <c r="I121" s="4" t="s">
        <v>170</v>
      </c>
      <c r="J121" s="4" t="s">
        <v>171</v>
      </c>
      <c r="K121" s="4" t="s">
        <v>172</v>
      </c>
      <c r="L121" s="16" t="s">
        <v>173</v>
      </c>
    </row>
    <row r="122" spans="1:12" ht="15.75">
      <c r="A122" s="4" t="s">
        <v>222</v>
      </c>
      <c r="B122" s="4">
        <v>2014</v>
      </c>
      <c r="C122" s="4" t="s">
        <v>223</v>
      </c>
      <c r="D122" s="4" t="s">
        <v>224</v>
      </c>
      <c r="E122" s="4">
        <v>3836.37</v>
      </c>
      <c r="F122" s="4" t="s">
        <v>225</v>
      </c>
      <c r="G122" s="4">
        <v>1</v>
      </c>
      <c r="H122" s="4" t="s">
        <v>226</v>
      </c>
      <c r="I122" s="4" t="s">
        <v>227</v>
      </c>
      <c r="J122" s="4" t="s">
        <v>135</v>
      </c>
      <c r="K122" s="4" t="s">
        <v>228</v>
      </c>
      <c r="L122" s="16" t="s">
        <v>229</v>
      </c>
    </row>
    <row r="123" spans="1:12" ht="15.75">
      <c r="A123" s="4" t="s">
        <v>222</v>
      </c>
      <c r="B123" s="4">
        <v>2014</v>
      </c>
      <c r="C123" s="4" t="s">
        <v>230</v>
      </c>
      <c r="D123" s="4" t="s">
        <v>224</v>
      </c>
      <c r="E123" s="4">
        <v>3862.84</v>
      </c>
      <c r="F123" s="4" t="s">
        <v>225</v>
      </c>
      <c r="G123" s="4">
        <v>1</v>
      </c>
      <c r="H123" s="4" t="s">
        <v>226</v>
      </c>
      <c r="I123" s="4" t="s">
        <v>227</v>
      </c>
      <c r="J123" s="4" t="s">
        <v>135</v>
      </c>
      <c r="K123" s="4" t="s">
        <v>228</v>
      </c>
      <c r="L123" s="16" t="s">
        <v>229</v>
      </c>
    </row>
    <row r="124" spans="1:12" ht="15.75">
      <c r="A124" s="4" t="s">
        <v>222</v>
      </c>
      <c r="B124" s="4">
        <v>2014</v>
      </c>
      <c r="C124" s="4" t="s">
        <v>231</v>
      </c>
      <c r="D124" s="4" t="s">
        <v>224</v>
      </c>
      <c r="E124" s="4">
        <v>3898.38</v>
      </c>
      <c r="F124" s="4" t="s">
        <v>225</v>
      </c>
      <c r="G124" s="4">
        <v>1</v>
      </c>
      <c r="H124" s="4" t="s">
        <v>226</v>
      </c>
      <c r="I124" s="4" t="s">
        <v>227</v>
      </c>
      <c r="J124" s="4" t="s">
        <v>135</v>
      </c>
      <c r="K124" s="4" t="s">
        <v>228</v>
      </c>
      <c r="L124" s="16" t="s">
        <v>229</v>
      </c>
    </row>
    <row r="125" spans="1:12" ht="15.75">
      <c r="A125" s="4" t="s">
        <v>222</v>
      </c>
      <c r="B125" s="4">
        <v>2014</v>
      </c>
      <c r="C125" s="4" t="s">
        <v>232</v>
      </c>
      <c r="D125" s="4" t="s">
        <v>224</v>
      </c>
      <c r="E125" s="4">
        <v>3924.5</v>
      </c>
      <c r="F125" s="4" t="s">
        <v>225</v>
      </c>
      <c r="G125" s="4">
        <v>1</v>
      </c>
      <c r="H125" s="4" t="s">
        <v>226</v>
      </c>
      <c r="I125" s="4" t="s">
        <v>227</v>
      </c>
      <c r="J125" s="4" t="s">
        <v>135</v>
      </c>
      <c r="K125" s="4" t="s">
        <v>228</v>
      </c>
      <c r="L125" s="16" t="s">
        <v>229</v>
      </c>
    </row>
    <row r="126" spans="1:12" ht="15.75">
      <c r="A126" s="4" t="s">
        <v>222</v>
      </c>
      <c r="B126" s="4">
        <v>2014</v>
      </c>
      <c r="C126" s="4" t="s">
        <v>233</v>
      </c>
      <c r="D126" s="4" t="s">
        <v>224</v>
      </c>
      <c r="E126" s="4">
        <v>3942.55</v>
      </c>
      <c r="F126" s="4" t="s">
        <v>225</v>
      </c>
      <c r="G126" s="4">
        <v>1</v>
      </c>
      <c r="H126" s="4" t="s">
        <v>226</v>
      </c>
      <c r="I126" s="4" t="s">
        <v>227</v>
      </c>
      <c r="J126" s="4" t="s">
        <v>135</v>
      </c>
      <c r="K126" s="4" t="s">
        <v>228</v>
      </c>
      <c r="L126" s="16" t="s">
        <v>229</v>
      </c>
    </row>
    <row r="127" spans="1:12" ht="15.75">
      <c r="A127" s="4" t="s">
        <v>222</v>
      </c>
      <c r="B127" s="4">
        <v>2014</v>
      </c>
      <c r="C127" s="4" t="s">
        <v>234</v>
      </c>
      <c r="D127" s="4" t="s">
        <v>224</v>
      </c>
      <c r="E127" s="4">
        <v>3958.32</v>
      </c>
      <c r="F127" s="4" t="s">
        <v>225</v>
      </c>
      <c r="G127" s="4">
        <v>1</v>
      </c>
      <c r="H127" s="4" t="s">
        <v>226</v>
      </c>
      <c r="I127" s="4" t="s">
        <v>227</v>
      </c>
      <c r="J127" s="4" t="s">
        <v>135</v>
      </c>
      <c r="K127" s="4" t="s">
        <v>228</v>
      </c>
      <c r="L127" s="16" t="s">
        <v>229</v>
      </c>
    </row>
    <row r="128" spans="1:12" ht="15.75">
      <c r="A128" s="4" t="s">
        <v>222</v>
      </c>
      <c r="B128" s="4">
        <v>2014</v>
      </c>
      <c r="C128" s="4" t="s">
        <v>235</v>
      </c>
      <c r="D128" s="4" t="s">
        <v>224</v>
      </c>
      <c r="E128" s="4">
        <v>3958.72</v>
      </c>
      <c r="F128" s="4" t="s">
        <v>225</v>
      </c>
      <c r="G128" s="4">
        <v>1</v>
      </c>
      <c r="H128" s="4" t="s">
        <v>226</v>
      </c>
      <c r="I128" s="4" t="s">
        <v>227</v>
      </c>
      <c r="J128" s="4" t="s">
        <v>135</v>
      </c>
      <c r="K128" s="4" t="s">
        <v>228</v>
      </c>
      <c r="L128" s="16" t="s">
        <v>229</v>
      </c>
    </row>
    <row r="129" spans="1:12" ht="15.75">
      <c r="A129" s="4" t="s">
        <v>222</v>
      </c>
      <c r="B129" s="4">
        <v>2014</v>
      </c>
      <c r="C129" s="4" t="s">
        <v>236</v>
      </c>
      <c r="D129" s="4" t="s">
        <v>224</v>
      </c>
      <c r="E129" s="4">
        <v>3968.62</v>
      </c>
      <c r="F129" s="4" t="s">
        <v>225</v>
      </c>
      <c r="G129" s="4">
        <v>1</v>
      </c>
      <c r="H129" s="4" t="s">
        <v>226</v>
      </c>
      <c r="I129" s="4" t="s">
        <v>227</v>
      </c>
      <c r="J129" s="4" t="s">
        <v>135</v>
      </c>
      <c r="K129" s="4" t="s">
        <v>228</v>
      </c>
      <c r="L129" s="16" t="s">
        <v>229</v>
      </c>
    </row>
    <row r="130" spans="1:12" ht="15.75">
      <c r="A130" s="4" t="s">
        <v>222</v>
      </c>
      <c r="B130" s="4">
        <v>2014</v>
      </c>
      <c r="C130" s="4" t="s">
        <v>237</v>
      </c>
      <c r="D130" s="4" t="s">
        <v>224</v>
      </c>
      <c r="E130" s="4">
        <v>3991.24</v>
      </c>
      <c r="F130" s="4" t="s">
        <v>225</v>
      </c>
      <c r="G130" s="4">
        <v>1</v>
      </c>
      <c r="H130" s="4" t="s">
        <v>226</v>
      </c>
      <c r="I130" s="4" t="s">
        <v>227</v>
      </c>
      <c r="J130" s="4" t="s">
        <v>135</v>
      </c>
      <c r="K130" s="4" t="s">
        <v>228</v>
      </c>
      <c r="L130" s="16" t="s">
        <v>229</v>
      </c>
    </row>
    <row r="131" spans="1:12" ht="15.75">
      <c r="A131" s="4" t="s">
        <v>222</v>
      </c>
      <c r="B131" s="4">
        <v>2014</v>
      </c>
      <c r="C131" s="4" t="s">
        <v>238</v>
      </c>
      <c r="D131" s="4" t="s">
        <v>224</v>
      </c>
      <c r="E131" s="4">
        <v>4008</v>
      </c>
      <c r="F131" s="4" t="s">
        <v>225</v>
      </c>
      <c r="G131" s="4">
        <v>1</v>
      </c>
      <c r="H131" s="4" t="s">
        <v>226</v>
      </c>
      <c r="I131" s="4" t="s">
        <v>227</v>
      </c>
      <c r="J131" s="4" t="s">
        <v>135</v>
      </c>
      <c r="K131" s="4" t="s">
        <v>228</v>
      </c>
      <c r="L131" s="16" t="s">
        <v>229</v>
      </c>
    </row>
    <row r="132" spans="1:12" ht="15.75">
      <c r="A132" s="4" t="s">
        <v>222</v>
      </c>
      <c r="B132" s="4">
        <v>2014</v>
      </c>
      <c r="C132" s="4" t="s">
        <v>239</v>
      </c>
      <c r="D132" s="4" t="s">
        <v>224</v>
      </c>
      <c r="E132" s="4">
        <v>4028.44</v>
      </c>
      <c r="F132" s="4" t="s">
        <v>225</v>
      </c>
      <c r="G132" s="4">
        <v>1</v>
      </c>
      <c r="H132" s="4" t="s">
        <v>226</v>
      </c>
      <c r="I132" s="4" t="s">
        <v>227</v>
      </c>
      <c r="J132" s="4" t="s">
        <v>135</v>
      </c>
      <c r="K132" s="4" t="s">
        <v>228</v>
      </c>
      <c r="L132" s="16" t="s">
        <v>229</v>
      </c>
    </row>
    <row r="133" spans="1:12" ht="15.75">
      <c r="A133" s="4" t="s">
        <v>222</v>
      </c>
      <c r="B133" s="4">
        <v>2014</v>
      </c>
      <c r="C133" s="4" t="s">
        <v>240</v>
      </c>
      <c r="D133" s="4" t="s">
        <v>224</v>
      </c>
      <c r="E133" s="4">
        <v>4059.86</v>
      </c>
      <c r="F133" s="4" t="s">
        <v>225</v>
      </c>
      <c r="G133" s="4">
        <v>1</v>
      </c>
      <c r="H133" s="4" t="s">
        <v>226</v>
      </c>
      <c r="I133" s="4" t="s">
        <v>227</v>
      </c>
      <c r="J133" s="4" t="s">
        <v>135</v>
      </c>
      <c r="K133" s="4" t="s">
        <v>228</v>
      </c>
      <c r="L133" s="16" t="s">
        <v>229</v>
      </c>
    </row>
    <row r="134" spans="1:12" ht="15.75">
      <c r="A134" s="4" t="s">
        <v>222</v>
      </c>
      <c r="B134" s="4">
        <v>2015</v>
      </c>
      <c r="C134" s="4" t="s">
        <v>241</v>
      </c>
      <c r="D134" s="4" t="s">
        <v>224</v>
      </c>
      <c r="E134" s="4">
        <v>4110.2</v>
      </c>
      <c r="F134" s="4" t="s">
        <v>225</v>
      </c>
      <c r="G134" s="4">
        <v>1</v>
      </c>
      <c r="H134" s="4" t="s">
        <v>226</v>
      </c>
      <c r="I134" s="4" t="s">
        <v>227</v>
      </c>
      <c r="J134" s="4" t="s">
        <v>135</v>
      </c>
      <c r="K134" s="4" t="s">
        <v>228</v>
      </c>
      <c r="L134" s="16" t="s">
        <v>229</v>
      </c>
    </row>
    <row r="135" spans="1:12" ht="15.75">
      <c r="A135" s="4" t="s">
        <v>222</v>
      </c>
      <c r="B135" s="4">
        <v>2015</v>
      </c>
      <c r="C135" s="4" t="s">
        <v>242</v>
      </c>
      <c r="D135" s="4" t="s">
        <v>224</v>
      </c>
      <c r="E135" s="4">
        <v>4160.34</v>
      </c>
      <c r="F135" s="4" t="s">
        <v>225</v>
      </c>
      <c r="G135" s="4">
        <v>1</v>
      </c>
      <c r="H135" s="4" t="s">
        <v>226</v>
      </c>
      <c r="I135" s="4" t="s">
        <v>227</v>
      </c>
      <c r="J135" s="4" t="s">
        <v>135</v>
      </c>
      <c r="K135" s="4" t="s">
        <v>228</v>
      </c>
      <c r="L135" s="16" t="s">
        <v>229</v>
      </c>
    </row>
    <row r="136" spans="1:12" ht="15.75">
      <c r="A136" s="4" t="s">
        <v>222</v>
      </c>
      <c r="B136" s="4">
        <v>2015</v>
      </c>
      <c r="C136" s="4" t="s">
        <v>243</v>
      </c>
      <c r="D136" s="4" t="s">
        <v>224</v>
      </c>
      <c r="E136" s="4">
        <v>4215.26</v>
      </c>
      <c r="F136" s="4" t="s">
        <v>225</v>
      </c>
      <c r="G136" s="4">
        <v>1</v>
      </c>
      <c r="H136" s="4" t="s">
        <v>226</v>
      </c>
      <c r="I136" s="4" t="s">
        <v>227</v>
      </c>
      <c r="J136" s="4" t="s">
        <v>135</v>
      </c>
      <c r="K136" s="4" t="s">
        <v>228</v>
      </c>
      <c r="L136" s="16" t="s">
        <v>229</v>
      </c>
    </row>
    <row r="137" spans="1:12" ht="15.75">
      <c r="A137" s="4" t="s">
        <v>222</v>
      </c>
      <c r="B137" s="4">
        <v>2015</v>
      </c>
      <c r="C137" s="4" t="s">
        <v>244</v>
      </c>
      <c r="D137" s="4" t="s">
        <v>224</v>
      </c>
      <c r="E137" s="4">
        <v>4245.1899999999996</v>
      </c>
      <c r="F137" s="4" t="s">
        <v>225</v>
      </c>
      <c r="G137" s="4">
        <v>1</v>
      </c>
      <c r="H137" s="4" t="s">
        <v>226</v>
      </c>
      <c r="I137" s="4" t="s">
        <v>227</v>
      </c>
      <c r="J137" s="4" t="s">
        <v>135</v>
      </c>
      <c r="K137" s="4" t="s">
        <v>228</v>
      </c>
      <c r="L137" s="16" t="s">
        <v>229</v>
      </c>
    </row>
    <row r="138" spans="1:12" ht="15.75">
      <c r="A138" s="4" t="s">
        <v>222</v>
      </c>
      <c r="B138" s="4">
        <v>2015</v>
      </c>
      <c r="C138" s="4" t="s">
        <v>245</v>
      </c>
      <c r="D138" s="4" t="s">
        <v>224</v>
      </c>
      <c r="E138" s="4">
        <v>4276.6000000000004</v>
      </c>
      <c r="F138" s="4" t="s">
        <v>225</v>
      </c>
      <c r="G138" s="4">
        <v>1</v>
      </c>
      <c r="H138" s="4" t="s">
        <v>226</v>
      </c>
      <c r="I138" s="4" t="s">
        <v>227</v>
      </c>
      <c r="J138" s="4" t="s">
        <v>135</v>
      </c>
      <c r="K138" s="4" t="s">
        <v>228</v>
      </c>
      <c r="L138" s="16" t="s">
        <v>229</v>
      </c>
    </row>
    <row r="139" spans="1:12" ht="15.75">
      <c r="A139" s="4" t="s">
        <v>222</v>
      </c>
      <c r="B139" s="4">
        <v>2015</v>
      </c>
      <c r="C139" s="4" t="s">
        <v>246</v>
      </c>
      <c r="D139" s="4" t="s">
        <v>224</v>
      </c>
      <c r="E139" s="4">
        <v>4310.3900000000003</v>
      </c>
      <c r="F139" s="4" t="s">
        <v>225</v>
      </c>
      <c r="G139" s="4">
        <v>1</v>
      </c>
      <c r="H139" s="4" t="s">
        <v>226</v>
      </c>
      <c r="I139" s="4" t="s">
        <v>227</v>
      </c>
      <c r="J139" s="4" t="s">
        <v>135</v>
      </c>
      <c r="K139" s="4" t="s">
        <v>228</v>
      </c>
      <c r="L139" s="16" t="s">
        <v>229</v>
      </c>
    </row>
    <row r="140" spans="1:12" ht="15.75">
      <c r="A140" s="4" t="s">
        <v>222</v>
      </c>
      <c r="B140" s="4">
        <v>2015</v>
      </c>
      <c r="C140" s="4" t="s">
        <v>247</v>
      </c>
      <c r="D140" s="4" t="s">
        <v>224</v>
      </c>
      <c r="E140" s="4">
        <v>4337.1099999999997</v>
      </c>
      <c r="F140" s="4" t="s">
        <v>225</v>
      </c>
      <c r="G140" s="4">
        <v>1</v>
      </c>
      <c r="H140" s="4" t="s">
        <v>226</v>
      </c>
      <c r="I140" s="4" t="s">
        <v>227</v>
      </c>
      <c r="J140" s="4" t="s">
        <v>135</v>
      </c>
      <c r="K140" s="4" t="s">
        <v>228</v>
      </c>
      <c r="L140" s="16" t="s">
        <v>229</v>
      </c>
    </row>
    <row r="141" spans="1:12" ht="15.75">
      <c r="A141" s="4" t="s">
        <v>222</v>
      </c>
      <c r="B141" s="4">
        <v>2015</v>
      </c>
      <c r="C141" s="4" t="s">
        <v>248</v>
      </c>
      <c r="D141" s="4" t="s">
        <v>224</v>
      </c>
      <c r="E141" s="4">
        <v>4346.6499999999996</v>
      </c>
      <c r="F141" s="4" t="s">
        <v>225</v>
      </c>
      <c r="G141" s="4">
        <v>1</v>
      </c>
      <c r="H141" s="4" t="s">
        <v>226</v>
      </c>
      <c r="I141" s="4" t="s">
        <v>227</v>
      </c>
      <c r="J141" s="4" t="s">
        <v>135</v>
      </c>
      <c r="K141" s="4" t="s">
        <v>228</v>
      </c>
      <c r="L141" s="16" t="s">
        <v>229</v>
      </c>
    </row>
    <row r="142" spans="1:12" ht="15.75">
      <c r="A142" s="4" t="s">
        <v>222</v>
      </c>
      <c r="B142" s="4">
        <v>2015</v>
      </c>
      <c r="C142" s="4" t="s">
        <v>249</v>
      </c>
      <c r="D142" s="4" t="s">
        <v>224</v>
      </c>
      <c r="E142" s="4">
        <v>4370.12</v>
      </c>
      <c r="F142" s="4" t="s">
        <v>225</v>
      </c>
      <c r="G142" s="4">
        <v>1</v>
      </c>
      <c r="H142" s="4" t="s">
        <v>226</v>
      </c>
      <c r="I142" s="4" t="s">
        <v>227</v>
      </c>
      <c r="J142" s="4" t="s">
        <v>135</v>
      </c>
      <c r="K142" s="4" t="s">
        <v>228</v>
      </c>
      <c r="L142" s="16" t="s">
        <v>229</v>
      </c>
    </row>
    <row r="143" spans="1:12" ht="15.75">
      <c r="A143" s="4" t="s">
        <v>222</v>
      </c>
      <c r="B143" s="4">
        <v>2015</v>
      </c>
      <c r="C143" s="4" t="s">
        <v>250</v>
      </c>
      <c r="D143" s="4" t="s">
        <v>224</v>
      </c>
      <c r="E143" s="4">
        <v>4405.95</v>
      </c>
      <c r="F143" s="4" t="s">
        <v>225</v>
      </c>
      <c r="G143" s="4">
        <v>1</v>
      </c>
      <c r="H143" s="4" t="s">
        <v>226</v>
      </c>
      <c r="I143" s="4" t="s">
        <v>227</v>
      </c>
      <c r="J143" s="4" t="s">
        <v>135</v>
      </c>
      <c r="K143" s="4" t="s">
        <v>228</v>
      </c>
      <c r="L143" s="16" t="s">
        <v>229</v>
      </c>
    </row>
    <row r="144" spans="1:12" ht="15.75">
      <c r="A144" s="4" t="s">
        <v>222</v>
      </c>
      <c r="B144" s="4">
        <v>2015</v>
      </c>
      <c r="C144" s="4" t="s">
        <v>251</v>
      </c>
      <c r="D144" s="4" t="s">
        <v>224</v>
      </c>
      <c r="E144" s="4">
        <v>4450.45</v>
      </c>
      <c r="F144" s="4" t="s">
        <v>225</v>
      </c>
      <c r="G144" s="4">
        <v>1</v>
      </c>
      <c r="H144" s="4" t="s">
        <v>226</v>
      </c>
      <c r="I144" s="4" t="s">
        <v>227</v>
      </c>
      <c r="J144" s="4" t="s">
        <v>135</v>
      </c>
      <c r="K144" s="4" t="s">
        <v>228</v>
      </c>
      <c r="L144" s="16" t="s">
        <v>229</v>
      </c>
    </row>
    <row r="145" spans="1:12" ht="15.75">
      <c r="A145" s="4" t="s">
        <v>222</v>
      </c>
      <c r="B145" s="4">
        <v>2015</v>
      </c>
      <c r="C145" s="4" t="s">
        <v>252</v>
      </c>
      <c r="D145" s="4" t="s">
        <v>224</v>
      </c>
      <c r="E145" s="4">
        <v>4493.17</v>
      </c>
      <c r="F145" s="4" t="s">
        <v>225</v>
      </c>
      <c r="G145" s="4">
        <v>1</v>
      </c>
      <c r="H145" s="4" t="s">
        <v>226</v>
      </c>
      <c r="I145" s="4" t="s">
        <v>227</v>
      </c>
      <c r="J145" s="4" t="s">
        <v>135</v>
      </c>
      <c r="K145" s="4" t="s">
        <v>228</v>
      </c>
      <c r="L145" s="16" t="s">
        <v>229</v>
      </c>
    </row>
    <row r="146" spans="1:12" ht="15.75">
      <c r="A146" s="4" t="s">
        <v>222</v>
      </c>
      <c r="B146" s="4">
        <v>2016</v>
      </c>
      <c r="C146" s="4" t="s">
        <v>253</v>
      </c>
      <c r="D146" s="4" t="s">
        <v>224</v>
      </c>
      <c r="E146" s="4">
        <v>4550.2299999999996</v>
      </c>
      <c r="F146" s="4" t="s">
        <v>225</v>
      </c>
      <c r="G146" s="4">
        <v>1</v>
      </c>
      <c r="H146" s="4" t="s">
        <v>226</v>
      </c>
      <c r="I146" s="4" t="s">
        <v>227</v>
      </c>
      <c r="J146" s="4" t="s">
        <v>135</v>
      </c>
      <c r="K146" s="4" t="s">
        <v>228</v>
      </c>
      <c r="L146" s="16" t="s">
        <v>229</v>
      </c>
    </row>
    <row r="147" spans="1:12" ht="15.75">
      <c r="A147" s="4" t="s">
        <v>222</v>
      </c>
      <c r="B147" s="4">
        <v>2016</v>
      </c>
      <c r="C147" s="4" t="s">
        <v>254</v>
      </c>
      <c r="D147" s="4" t="s">
        <v>224</v>
      </c>
      <c r="E147" s="4">
        <v>4591.18</v>
      </c>
      <c r="F147" s="4" t="s">
        <v>225</v>
      </c>
      <c r="G147" s="4">
        <v>1</v>
      </c>
      <c r="H147" s="4" t="s">
        <v>226</v>
      </c>
      <c r="I147" s="4" t="s">
        <v>227</v>
      </c>
      <c r="J147" s="4" t="s">
        <v>135</v>
      </c>
      <c r="K147" s="4" t="s">
        <v>228</v>
      </c>
      <c r="L147" s="16" t="s">
        <v>229</v>
      </c>
    </row>
    <row r="148" spans="1:12" ht="15.75">
      <c r="A148" s="4" t="s">
        <v>222</v>
      </c>
      <c r="B148" s="4">
        <v>2016</v>
      </c>
      <c r="C148" s="4" t="s">
        <v>255</v>
      </c>
      <c r="D148" s="4" t="s">
        <v>224</v>
      </c>
      <c r="E148" s="4">
        <v>4610.92</v>
      </c>
      <c r="F148" s="4" t="s">
        <v>225</v>
      </c>
      <c r="G148" s="4">
        <v>1</v>
      </c>
      <c r="H148" s="4" t="s">
        <v>226</v>
      </c>
      <c r="I148" s="4" t="s">
        <v>227</v>
      </c>
      <c r="J148" s="4" t="s">
        <v>135</v>
      </c>
      <c r="K148" s="4" t="s">
        <v>228</v>
      </c>
      <c r="L148" s="16" t="s">
        <v>229</v>
      </c>
    </row>
    <row r="149" spans="1:12" ht="15.75">
      <c r="A149" s="4" t="s">
        <v>222</v>
      </c>
      <c r="B149" s="4">
        <v>2016</v>
      </c>
      <c r="C149" s="4" t="s">
        <v>256</v>
      </c>
      <c r="D149" s="4" t="s">
        <v>224</v>
      </c>
      <c r="E149" s="4">
        <v>4639.05</v>
      </c>
      <c r="F149" s="4" t="s">
        <v>225</v>
      </c>
      <c r="G149" s="4">
        <v>1</v>
      </c>
      <c r="H149" s="4" t="s">
        <v>226</v>
      </c>
      <c r="I149" s="4" t="s">
        <v>227</v>
      </c>
      <c r="J149" s="4" t="s">
        <v>135</v>
      </c>
      <c r="K149" s="4" t="s">
        <v>228</v>
      </c>
      <c r="L149" s="16" t="s">
        <v>229</v>
      </c>
    </row>
    <row r="150" spans="1:12" ht="15.75">
      <c r="A150" s="4" t="s">
        <v>222</v>
      </c>
      <c r="B150" s="4">
        <v>2016</v>
      </c>
      <c r="C150" s="4" t="s">
        <v>257</v>
      </c>
      <c r="D150" s="4" t="s">
        <v>224</v>
      </c>
      <c r="E150" s="4">
        <v>4675.2299999999996</v>
      </c>
      <c r="F150" s="4" t="s">
        <v>225</v>
      </c>
      <c r="G150" s="4">
        <v>1</v>
      </c>
      <c r="H150" s="4" t="s">
        <v>226</v>
      </c>
      <c r="I150" s="4" t="s">
        <v>227</v>
      </c>
      <c r="J150" s="4" t="s">
        <v>135</v>
      </c>
      <c r="K150" s="4" t="s">
        <v>228</v>
      </c>
      <c r="L150" s="16" t="s">
        <v>229</v>
      </c>
    </row>
    <row r="151" spans="1:12" ht="15.75">
      <c r="A151" s="4" t="s">
        <v>222</v>
      </c>
      <c r="B151" s="4">
        <v>2016</v>
      </c>
      <c r="C151" s="4" t="s">
        <v>258</v>
      </c>
      <c r="D151" s="4" t="s">
        <v>224</v>
      </c>
      <c r="E151" s="4">
        <v>4691.59</v>
      </c>
      <c r="F151" s="4" t="s">
        <v>225</v>
      </c>
      <c r="G151" s="4">
        <v>1</v>
      </c>
      <c r="H151" s="4" t="s">
        <v>226</v>
      </c>
      <c r="I151" s="4" t="s">
        <v>227</v>
      </c>
      <c r="J151" s="4" t="s">
        <v>135</v>
      </c>
      <c r="K151" s="4" t="s">
        <v>228</v>
      </c>
      <c r="L151" s="16" t="s">
        <v>229</v>
      </c>
    </row>
    <row r="152" spans="1:12" ht="15.75">
      <c r="A152" s="4" t="s">
        <v>222</v>
      </c>
      <c r="B152" s="4">
        <v>2016</v>
      </c>
      <c r="C152" s="4" t="s">
        <v>259</v>
      </c>
      <c r="D152" s="4" t="s">
        <v>224</v>
      </c>
      <c r="E152" s="4">
        <v>4715.99</v>
      </c>
      <c r="F152" s="4" t="s">
        <v>225</v>
      </c>
      <c r="G152" s="4">
        <v>1</v>
      </c>
      <c r="H152" s="4" t="s">
        <v>226</v>
      </c>
      <c r="I152" s="4" t="s">
        <v>227</v>
      </c>
      <c r="J152" s="4" t="s">
        <v>135</v>
      </c>
      <c r="K152" s="4" t="s">
        <v>228</v>
      </c>
      <c r="L152" s="16" t="s">
        <v>229</v>
      </c>
    </row>
    <row r="153" spans="1:12" ht="15.75">
      <c r="A153" s="4" t="s">
        <v>222</v>
      </c>
      <c r="B153" s="4">
        <v>2016</v>
      </c>
      <c r="C153" s="4" t="s">
        <v>260</v>
      </c>
      <c r="D153" s="4" t="s">
        <v>224</v>
      </c>
      <c r="E153" s="4">
        <v>4736.74</v>
      </c>
      <c r="F153" s="4" t="s">
        <v>225</v>
      </c>
      <c r="G153" s="4">
        <v>1</v>
      </c>
      <c r="H153" s="4" t="s">
        <v>226</v>
      </c>
      <c r="I153" s="4" t="s">
        <v>227</v>
      </c>
      <c r="J153" s="4" t="s">
        <v>135</v>
      </c>
      <c r="K153" s="4" t="s">
        <v>228</v>
      </c>
      <c r="L153" s="16" t="s">
        <v>229</v>
      </c>
    </row>
    <row r="154" spans="1:12" ht="15.75">
      <c r="A154" s="4" t="s">
        <v>222</v>
      </c>
      <c r="B154" s="4">
        <v>2016</v>
      </c>
      <c r="C154" s="4" t="s">
        <v>261</v>
      </c>
      <c r="D154" s="4" t="s">
        <v>224</v>
      </c>
      <c r="E154" s="4">
        <v>4740.53</v>
      </c>
      <c r="F154" s="4" t="s">
        <v>225</v>
      </c>
      <c r="G154" s="4">
        <v>1</v>
      </c>
      <c r="H154" s="4" t="s">
        <v>226</v>
      </c>
      <c r="I154" s="4" t="s">
        <v>227</v>
      </c>
      <c r="J154" s="4" t="s">
        <v>135</v>
      </c>
      <c r="K154" s="4" t="s">
        <v>228</v>
      </c>
      <c r="L154" s="16" t="s">
        <v>229</v>
      </c>
    </row>
    <row r="155" spans="1:12" ht="15.75">
      <c r="A155" s="4" t="s">
        <v>222</v>
      </c>
      <c r="B155" s="4">
        <v>2016</v>
      </c>
      <c r="C155" s="4" t="s">
        <v>262</v>
      </c>
      <c r="D155" s="4" t="s">
        <v>224</v>
      </c>
      <c r="E155" s="4">
        <v>4752.8599999999997</v>
      </c>
      <c r="F155" s="4" t="s">
        <v>225</v>
      </c>
      <c r="G155" s="4">
        <v>1</v>
      </c>
      <c r="H155" s="4" t="s">
        <v>226</v>
      </c>
      <c r="I155" s="4" t="s">
        <v>227</v>
      </c>
      <c r="J155" s="4" t="s">
        <v>135</v>
      </c>
      <c r="K155" s="4" t="s">
        <v>228</v>
      </c>
      <c r="L155" s="16" t="s">
        <v>229</v>
      </c>
    </row>
    <row r="156" spans="1:12" ht="15.75">
      <c r="A156" s="4" t="s">
        <v>222</v>
      </c>
      <c r="B156" s="4">
        <v>2016</v>
      </c>
      <c r="C156" s="4" t="s">
        <v>263</v>
      </c>
      <c r="D156" s="4" t="s">
        <v>224</v>
      </c>
      <c r="E156" s="4">
        <v>4761.42</v>
      </c>
      <c r="F156" s="4" t="s">
        <v>225</v>
      </c>
      <c r="G156" s="4">
        <v>1</v>
      </c>
      <c r="H156" s="4" t="s">
        <v>226</v>
      </c>
      <c r="I156" s="4" t="s">
        <v>227</v>
      </c>
      <c r="J156" s="4" t="s">
        <v>135</v>
      </c>
      <c r="K156" s="4" t="s">
        <v>228</v>
      </c>
      <c r="L156" s="16" t="s">
        <v>229</v>
      </c>
    </row>
    <row r="157" spans="1:12" ht="15.75">
      <c r="A157" s="4" t="s">
        <v>222</v>
      </c>
      <c r="B157" s="4">
        <v>2016</v>
      </c>
      <c r="C157" s="4" t="s">
        <v>264</v>
      </c>
      <c r="D157" s="4" t="s">
        <v>224</v>
      </c>
      <c r="E157" s="4">
        <v>4775.7</v>
      </c>
      <c r="F157" s="4" t="s">
        <v>225</v>
      </c>
      <c r="G157" s="4">
        <v>1</v>
      </c>
      <c r="H157" s="4" t="s">
        <v>226</v>
      </c>
      <c r="I157" s="4" t="s">
        <v>227</v>
      </c>
      <c r="J157" s="4" t="s">
        <v>135</v>
      </c>
      <c r="K157" s="4" t="s">
        <v>228</v>
      </c>
      <c r="L157" s="16" t="s">
        <v>229</v>
      </c>
    </row>
    <row r="158" spans="1:12" ht="15.75">
      <c r="A158" s="4" t="s">
        <v>222</v>
      </c>
      <c r="B158" s="4">
        <v>2017</v>
      </c>
      <c r="C158" s="4" t="s">
        <v>265</v>
      </c>
      <c r="D158" s="4" t="s">
        <v>224</v>
      </c>
      <c r="E158" s="4">
        <v>4793.8500000000004</v>
      </c>
      <c r="F158" s="4" t="s">
        <v>225</v>
      </c>
      <c r="G158" s="4">
        <v>1</v>
      </c>
      <c r="H158" s="4" t="s">
        <v>226</v>
      </c>
      <c r="I158" s="4" t="s">
        <v>227</v>
      </c>
      <c r="J158" s="4" t="s">
        <v>135</v>
      </c>
      <c r="K158" s="4" t="s">
        <v>228</v>
      </c>
      <c r="L158" s="16" t="s">
        <v>229</v>
      </c>
    </row>
    <row r="159" spans="1:12" ht="15.75">
      <c r="A159" s="4" t="s">
        <v>222</v>
      </c>
      <c r="B159" s="4">
        <v>2017</v>
      </c>
      <c r="C159" s="4" t="s">
        <v>266</v>
      </c>
      <c r="D159" s="4" t="s">
        <v>224</v>
      </c>
      <c r="E159" s="4">
        <v>4809.67</v>
      </c>
      <c r="F159" s="4" t="s">
        <v>225</v>
      </c>
      <c r="G159" s="4">
        <v>1</v>
      </c>
      <c r="H159" s="4" t="s">
        <v>226</v>
      </c>
      <c r="I159" s="4" t="s">
        <v>227</v>
      </c>
      <c r="J159" s="4" t="s">
        <v>135</v>
      </c>
      <c r="K159" s="4" t="s">
        <v>228</v>
      </c>
      <c r="L159" s="16" t="s">
        <v>229</v>
      </c>
    </row>
    <row r="160" spans="1:12" ht="15.75">
      <c r="A160" s="4" t="s">
        <v>222</v>
      </c>
      <c r="B160" s="4">
        <v>2017</v>
      </c>
      <c r="C160" s="4" t="s">
        <v>267</v>
      </c>
      <c r="D160" s="4" t="s">
        <v>224</v>
      </c>
      <c r="E160" s="4">
        <v>4821.6899999999996</v>
      </c>
      <c r="F160" s="4" t="s">
        <v>225</v>
      </c>
      <c r="G160" s="4">
        <v>1</v>
      </c>
      <c r="H160" s="4" t="s">
        <v>226</v>
      </c>
      <c r="I160" s="4" t="s">
        <v>227</v>
      </c>
      <c r="J160" s="4" t="s">
        <v>135</v>
      </c>
      <c r="K160" s="4" t="s">
        <v>228</v>
      </c>
      <c r="L160" s="16" t="s">
        <v>229</v>
      </c>
    </row>
    <row r="161" spans="1:12" ht="15.75">
      <c r="A161" s="4" t="s">
        <v>222</v>
      </c>
      <c r="B161" s="4">
        <v>2017</v>
      </c>
      <c r="C161" s="4" t="s">
        <v>268</v>
      </c>
      <c r="D161" s="4" t="s">
        <v>224</v>
      </c>
      <c r="E161" s="4">
        <v>4828.4399999999996</v>
      </c>
      <c r="F161" s="4" t="s">
        <v>225</v>
      </c>
      <c r="G161" s="4">
        <v>1</v>
      </c>
      <c r="H161" s="4" t="s">
        <v>226</v>
      </c>
      <c r="I161" s="4" t="s">
        <v>227</v>
      </c>
      <c r="J161" s="4" t="s">
        <v>135</v>
      </c>
      <c r="K161" s="4" t="s">
        <v>228</v>
      </c>
      <c r="L161" s="16" t="s">
        <v>229</v>
      </c>
    </row>
    <row r="162" spans="1:12" ht="15.75">
      <c r="A162" s="4" t="s">
        <v>222</v>
      </c>
      <c r="B162" s="4">
        <v>2017</v>
      </c>
      <c r="C162" s="4" t="s">
        <v>269</v>
      </c>
      <c r="D162" s="4" t="s">
        <v>224</v>
      </c>
      <c r="E162" s="4">
        <v>4843.41</v>
      </c>
      <c r="F162" s="4" t="s">
        <v>225</v>
      </c>
      <c r="G162" s="4">
        <v>1</v>
      </c>
      <c r="H162" s="4" t="s">
        <v>226</v>
      </c>
      <c r="I162" s="4" t="s">
        <v>227</v>
      </c>
      <c r="J162" s="4" t="s">
        <v>135</v>
      </c>
      <c r="K162" s="4" t="s">
        <v>228</v>
      </c>
      <c r="L162" s="16" t="s">
        <v>229</v>
      </c>
    </row>
    <row r="163" spans="1:12" ht="15.75">
      <c r="A163" s="4" t="s">
        <v>222</v>
      </c>
      <c r="B163" s="4">
        <v>2017</v>
      </c>
      <c r="C163" s="4" t="s">
        <v>270</v>
      </c>
      <c r="D163" s="4" t="s">
        <v>224</v>
      </c>
      <c r="E163" s="4">
        <v>4832.2700000000004</v>
      </c>
      <c r="F163" s="4" t="s">
        <v>225</v>
      </c>
      <c r="G163" s="4">
        <v>1</v>
      </c>
      <c r="H163" s="4" t="s">
        <v>226</v>
      </c>
      <c r="I163" s="4" t="s">
        <v>227</v>
      </c>
      <c r="J163" s="4" t="s">
        <v>135</v>
      </c>
      <c r="K163" s="4" t="s">
        <v>228</v>
      </c>
      <c r="L163" s="16" t="s">
        <v>229</v>
      </c>
    </row>
    <row r="164" spans="1:12" ht="15.75">
      <c r="A164" s="4" t="s">
        <v>222</v>
      </c>
      <c r="B164" s="4">
        <v>2017</v>
      </c>
      <c r="C164" s="4" t="s">
        <v>271</v>
      </c>
      <c r="D164" s="4" t="s">
        <v>224</v>
      </c>
      <c r="E164" s="4">
        <v>4843.87</v>
      </c>
      <c r="F164" s="4" t="s">
        <v>225</v>
      </c>
      <c r="G164" s="4">
        <v>1</v>
      </c>
      <c r="H164" s="4" t="s">
        <v>226</v>
      </c>
      <c r="I164" s="4" t="s">
        <v>227</v>
      </c>
      <c r="J164" s="4" t="s">
        <v>135</v>
      </c>
      <c r="K164" s="4" t="s">
        <v>228</v>
      </c>
      <c r="L164" s="16" t="s">
        <v>229</v>
      </c>
    </row>
    <row r="165" spans="1:12" ht="15.75">
      <c r="A165" s="4" t="s">
        <v>222</v>
      </c>
      <c r="B165" s="4">
        <v>2017</v>
      </c>
      <c r="C165" s="4" t="s">
        <v>272</v>
      </c>
      <c r="D165" s="4" t="s">
        <v>224</v>
      </c>
      <c r="E165" s="4">
        <v>4853.07</v>
      </c>
      <c r="F165" s="4" t="s">
        <v>225</v>
      </c>
      <c r="G165" s="4">
        <v>1</v>
      </c>
      <c r="H165" s="4" t="s">
        <v>226</v>
      </c>
      <c r="I165" s="4" t="s">
        <v>227</v>
      </c>
      <c r="J165" s="4" t="s">
        <v>135</v>
      </c>
      <c r="K165" s="4" t="s">
        <v>228</v>
      </c>
      <c r="L165" s="16" t="s">
        <v>229</v>
      </c>
    </row>
    <row r="166" spans="1:12" ht="15.75">
      <c r="A166" s="4" t="s">
        <v>222</v>
      </c>
      <c r="B166" s="4">
        <v>2017</v>
      </c>
      <c r="C166" s="4" t="s">
        <v>273</v>
      </c>
      <c r="D166" s="4" t="s">
        <v>224</v>
      </c>
      <c r="E166" s="4">
        <v>4860.83</v>
      </c>
      <c r="F166" s="4" t="s">
        <v>225</v>
      </c>
      <c r="G166" s="4">
        <v>1</v>
      </c>
      <c r="H166" s="4" t="s">
        <v>226</v>
      </c>
      <c r="I166" s="4" t="s">
        <v>227</v>
      </c>
      <c r="J166" s="4" t="s">
        <v>135</v>
      </c>
      <c r="K166" s="4" t="s">
        <v>228</v>
      </c>
      <c r="L166" s="16" t="s">
        <v>229</v>
      </c>
    </row>
    <row r="167" spans="1:12" ht="15.75">
      <c r="A167" s="4" t="s">
        <v>222</v>
      </c>
      <c r="B167" s="4">
        <v>2017</v>
      </c>
      <c r="C167" s="4" t="s">
        <v>274</v>
      </c>
      <c r="D167" s="4" t="s">
        <v>224</v>
      </c>
      <c r="E167" s="4">
        <v>4881.25</v>
      </c>
      <c r="F167" s="4" t="s">
        <v>225</v>
      </c>
      <c r="G167" s="4">
        <v>1</v>
      </c>
      <c r="H167" s="4" t="s">
        <v>226</v>
      </c>
      <c r="I167" s="4" t="s">
        <v>227</v>
      </c>
      <c r="J167" s="4" t="s">
        <v>135</v>
      </c>
      <c r="K167" s="4" t="s">
        <v>228</v>
      </c>
      <c r="L167" s="16" t="s">
        <v>229</v>
      </c>
    </row>
    <row r="168" spans="1:12" ht="15.75">
      <c r="A168" s="4" t="s">
        <v>222</v>
      </c>
      <c r="B168" s="4">
        <v>2017</v>
      </c>
      <c r="C168" s="4" t="s">
        <v>275</v>
      </c>
      <c r="D168" s="4" t="s">
        <v>224</v>
      </c>
      <c r="E168" s="4">
        <v>4894.92</v>
      </c>
      <c r="F168" s="4" t="s">
        <v>225</v>
      </c>
      <c r="G168" s="4">
        <v>1</v>
      </c>
      <c r="H168" s="4" t="s">
        <v>226</v>
      </c>
      <c r="I168" s="4" t="s">
        <v>227</v>
      </c>
      <c r="J168" s="4" t="s">
        <v>135</v>
      </c>
      <c r="K168" s="4" t="s">
        <v>228</v>
      </c>
      <c r="L168" s="16" t="s">
        <v>229</v>
      </c>
    </row>
    <row r="169" spans="1:12" ht="15.75">
      <c r="A169" s="4" t="s">
        <v>222</v>
      </c>
      <c r="B169" s="4">
        <v>2017</v>
      </c>
      <c r="C169" s="4" t="s">
        <v>276</v>
      </c>
      <c r="D169" s="4" t="s">
        <v>224</v>
      </c>
      <c r="E169" s="4">
        <v>4916.46</v>
      </c>
      <c r="F169" s="4" t="s">
        <v>225</v>
      </c>
      <c r="G169" s="4">
        <v>1</v>
      </c>
      <c r="H169" s="4" t="s">
        <v>226</v>
      </c>
      <c r="I169" s="4" t="s">
        <v>227</v>
      </c>
      <c r="J169" s="4" t="s">
        <v>135</v>
      </c>
      <c r="K169" s="4" t="s">
        <v>228</v>
      </c>
      <c r="L169" s="16" t="s">
        <v>229</v>
      </c>
    </row>
    <row r="170" spans="1:12" ht="15.75">
      <c r="A170" s="4" t="s">
        <v>222</v>
      </c>
      <c r="B170" s="4">
        <v>2018</v>
      </c>
      <c r="C170" s="4" t="s">
        <v>277</v>
      </c>
      <c r="D170" s="4" t="s">
        <v>224</v>
      </c>
      <c r="E170" s="4">
        <v>4930.72</v>
      </c>
      <c r="F170" s="4" t="s">
        <v>225</v>
      </c>
      <c r="G170" s="4">
        <v>1</v>
      </c>
      <c r="H170" s="4" t="s">
        <v>226</v>
      </c>
      <c r="I170" s="4" t="s">
        <v>227</v>
      </c>
      <c r="J170" s="4" t="s">
        <v>135</v>
      </c>
      <c r="K170" s="4" t="s">
        <v>228</v>
      </c>
      <c r="L170" s="16" t="s">
        <v>229</v>
      </c>
    </row>
    <row r="171" spans="1:12" ht="15.75">
      <c r="A171" s="4" t="s">
        <v>222</v>
      </c>
      <c r="B171" s="4">
        <v>2018</v>
      </c>
      <c r="C171" s="4" t="s">
        <v>278</v>
      </c>
      <c r="D171" s="4" t="s">
        <v>224</v>
      </c>
      <c r="E171" s="4">
        <v>4946.5</v>
      </c>
      <c r="F171" s="4" t="s">
        <v>225</v>
      </c>
      <c r="G171" s="4">
        <v>1</v>
      </c>
      <c r="H171" s="4" t="s">
        <v>226</v>
      </c>
      <c r="I171" s="4" t="s">
        <v>227</v>
      </c>
      <c r="J171" s="4" t="s">
        <v>135</v>
      </c>
      <c r="K171" s="4" t="s">
        <v>228</v>
      </c>
      <c r="L171" s="16" t="s">
        <v>229</v>
      </c>
    </row>
    <row r="172" spans="1:12" ht="15.75">
      <c r="A172" s="4" t="s">
        <v>222</v>
      </c>
      <c r="B172" s="4">
        <v>2018</v>
      </c>
      <c r="C172" s="4" t="s">
        <v>279</v>
      </c>
      <c r="D172" s="4" t="s">
        <v>224</v>
      </c>
      <c r="E172" s="4">
        <v>4950.95</v>
      </c>
      <c r="F172" s="4" t="s">
        <v>225</v>
      </c>
      <c r="G172" s="4">
        <v>1</v>
      </c>
      <c r="H172" s="4" t="s">
        <v>226</v>
      </c>
      <c r="I172" s="4" t="s">
        <v>227</v>
      </c>
      <c r="J172" s="4" t="s">
        <v>135</v>
      </c>
      <c r="K172" s="4" t="s">
        <v>228</v>
      </c>
      <c r="L172" s="16" t="s">
        <v>229</v>
      </c>
    </row>
    <row r="173" spans="1:12" ht="15.75">
      <c r="A173" s="4" t="s">
        <v>222</v>
      </c>
      <c r="B173" s="4">
        <v>2018</v>
      </c>
      <c r="C173" s="4" t="s">
        <v>280</v>
      </c>
      <c r="D173" s="4" t="s">
        <v>224</v>
      </c>
      <c r="E173" s="4">
        <v>4961.84</v>
      </c>
      <c r="F173" s="4" t="s">
        <v>225</v>
      </c>
      <c r="G173" s="4">
        <v>1</v>
      </c>
      <c r="H173" s="4" t="s">
        <v>226</v>
      </c>
      <c r="I173" s="4" t="s">
        <v>227</v>
      </c>
      <c r="J173" s="4" t="s">
        <v>135</v>
      </c>
      <c r="K173" s="4" t="s">
        <v>228</v>
      </c>
      <c r="L173" s="16" t="s">
        <v>229</v>
      </c>
    </row>
    <row r="174" spans="1:12" ht="15.75">
      <c r="A174" s="4" t="s">
        <v>222</v>
      </c>
      <c r="B174" s="4">
        <v>2018</v>
      </c>
      <c r="C174" s="4" t="s">
        <v>281</v>
      </c>
      <c r="D174" s="4" t="s">
        <v>224</v>
      </c>
      <c r="E174" s="4">
        <v>4981.6899999999996</v>
      </c>
      <c r="F174" s="4" t="s">
        <v>225</v>
      </c>
      <c r="G174" s="4">
        <v>1</v>
      </c>
      <c r="H174" s="4" t="s">
        <v>226</v>
      </c>
      <c r="I174" s="4" t="s">
        <v>227</v>
      </c>
      <c r="J174" s="4" t="s">
        <v>135</v>
      </c>
      <c r="K174" s="4" t="s">
        <v>228</v>
      </c>
      <c r="L174" s="16" t="s">
        <v>229</v>
      </c>
    </row>
    <row r="175" spans="1:12" ht="15.75">
      <c r="A175" s="4" t="s">
        <v>222</v>
      </c>
      <c r="B175" s="4">
        <v>2018</v>
      </c>
      <c r="C175" s="4" t="s">
        <v>282</v>
      </c>
      <c r="D175" s="4" t="s">
        <v>224</v>
      </c>
      <c r="E175" s="4">
        <v>5044.46</v>
      </c>
      <c r="F175" s="4" t="s">
        <v>225</v>
      </c>
      <c r="G175" s="4">
        <v>1</v>
      </c>
      <c r="H175" s="4" t="s">
        <v>226</v>
      </c>
      <c r="I175" s="4" t="s">
        <v>227</v>
      </c>
      <c r="J175" s="4" t="s">
        <v>135</v>
      </c>
      <c r="K175" s="4" t="s">
        <v>228</v>
      </c>
      <c r="L175" s="16" t="s">
        <v>229</v>
      </c>
    </row>
    <row r="176" spans="1:12" ht="15.75">
      <c r="A176" s="4" t="s">
        <v>222</v>
      </c>
      <c r="B176" s="4">
        <v>2018</v>
      </c>
      <c r="C176" s="4" t="s">
        <v>283</v>
      </c>
      <c r="D176" s="4" t="s">
        <v>224</v>
      </c>
      <c r="E176" s="4">
        <v>5061.1099999999997</v>
      </c>
      <c r="F176" s="4" t="s">
        <v>225</v>
      </c>
      <c r="G176" s="4">
        <v>1</v>
      </c>
      <c r="H176" s="4" t="s">
        <v>226</v>
      </c>
      <c r="I176" s="4" t="s">
        <v>227</v>
      </c>
      <c r="J176" s="4" t="s">
        <v>135</v>
      </c>
      <c r="K176" s="4" t="s">
        <v>228</v>
      </c>
      <c r="L176" s="16" t="s">
        <v>229</v>
      </c>
    </row>
    <row r="177" spans="1:12" ht="15.75">
      <c r="A177" s="4" t="s">
        <v>222</v>
      </c>
      <c r="B177" s="4">
        <v>2018</v>
      </c>
      <c r="C177" s="4" t="s">
        <v>284</v>
      </c>
      <c r="D177" s="4" t="s">
        <v>224</v>
      </c>
      <c r="E177" s="4">
        <v>5056.5600000000004</v>
      </c>
      <c r="F177" s="4" t="s">
        <v>225</v>
      </c>
      <c r="G177" s="4">
        <v>1</v>
      </c>
      <c r="H177" s="4" t="s">
        <v>226</v>
      </c>
      <c r="I177" s="4" t="s">
        <v>227</v>
      </c>
      <c r="J177" s="4" t="s">
        <v>135</v>
      </c>
      <c r="K177" s="4" t="s">
        <v>228</v>
      </c>
      <c r="L177" s="16" t="s">
        <v>229</v>
      </c>
    </row>
    <row r="178" spans="1:12" ht="15.75">
      <c r="A178" s="4" t="s">
        <v>222</v>
      </c>
      <c r="B178" s="4">
        <v>2018</v>
      </c>
      <c r="C178" s="4" t="s">
        <v>285</v>
      </c>
      <c r="D178" s="4" t="s">
        <v>224</v>
      </c>
      <c r="E178" s="4">
        <v>5080.83</v>
      </c>
      <c r="F178" s="4" t="s">
        <v>225</v>
      </c>
      <c r="G178" s="4">
        <v>1</v>
      </c>
      <c r="H178" s="4" t="s">
        <v>226</v>
      </c>
      <c r="I178" s="4" t="s">
        <v>227</v>
      </c>
      <c r="J178" s="4" t="s">
        <v>135</v>
      </c>
      <c r="K178" s="4" t="s">
        <v>228</v>
      </c>
      <c r="L178" s="16" t="s">
        <v>229</v>
      </c>
    </row>
    <row r="179" spans="1:12" ht="15.75">
      <c r="A179" s="4" t="s">
        <v>222</v>
      </c>
      <c r="B179" s="4">
        <v>2018</v>
      </c>
      <c r="C179" s="4" t="s">
        <v>286</v>
      </c>
      <c r="D179" s="4" t="s">
        <v>224</v>
      </c>
      <c r="E179" s="4">
        <v>5103.6899999999996</v>
      </c>
      <c r="F179" s="4" t="s">
        <v>225</v>
      </c>
      <c r="G179" s="4">
        <v>1</v>
      </c>
      <c r="H179" s="4" t="s">
        <v>226</v>
      </c>
      <c r="I179" s="4" t="s">
        <v>227</v>
      </c>
      <c r="J179" s="4" t="s">
        <v>135</v>
      </c>
      <c r="K179" s="4" t="s">
        <v>228</v>
      </c>
      <c r="L179" s="16" t="s">
        <v>229</v>
      </c>
    </row>
    <row r="180" spans="1:12" ht="15.75">
      <c r="A180" s="4" t="s">
        <v>222</v>
      </c>
      <c r="B180" s="4">
        <v>2018</v>
      </c>
      <c r="C180" s="4" t="s">
        <v>287</v>
      </c>
      <c r="D180" s="4" t="s">
        <v>224</v>
      </c>
      <c r="E180" s="4">
        <v>5092.97</v>
      </c>
      <c r="F180" s="4" t="s">
        <v>225</v>
      </c>
      <c r="G180" s="4">
        <v>1</v>
      </c>
      <c r="H180" s="4" t="s">
        <v>226</v>
      </c>
      <c r="I180" s="4" t="s">
        <v>227</v>
      </c>
      <c r="J180" s="4" t="s">
        <v>135</v>
      </c>
      <c r="K180" s="4" t="s">
        <v>228</v>
      </c>
      <c r="L180" s="16" t="s">
        <v>229</v>
      </c>
    </row>
    <row r="181" spans="1:12" ht="15.75">
      <c r="A181" s="4" t="s">
        <v>222</v>
      </c>
      <c r="B181" s="4">
        <v>2018</v>
      </c>
      <c r="C181" s="4" t="s">
        <v>288</v>
      </c>
      <c r="D181" s="4" t="s">
        <v>224</v>
      </c>
      <c r="E181" s="4">
        <v>5100.6099999999997</v>
      </c>
      <c r="F181" s="4" t="s">
        <v>225</v>
      </c>
      <c r="G181" s="4">
        <v>1</v>
      </c>
      <c r="H181" s="4" t="s">
        <v>226</v>
      </c>
      <c r="I181" s="4" t="s">
        <v>227</v>
      </c>
      <c r="J181" s="4" t="s">
        <v>135</v>
      </c>
      <c r="K181" s="4" t="s">
        <v>228</v>
      </c>
      <c r="L181" s="16" t="s">
        <v>229</v>
      </c>
    </row>
    <row r="182" spans="1:12" ht="15.75">
      <c r="A182" s="4" t="s">
        <v>222</v>
      </c>
      <c r="B182" s="4">
        <v>2019</v>
      </c>
      <c r="C182" s="4" t="s">
        <v>289</v>
      </c>
      <c r="D182" s="4" t="s">
        <v>224</v>
      </c>
      <c r="E182" s="4">
        <v>5116.93</v>
      </c>
      <c r="F182" s="4" t="s">
        <v>225</v>
      </c>
      <c r="G182" s="4">
        <v>1</v>
      </c>
      <c r="H182" s="4" t="s">
        <v>226</v>
      </c>
      <c r="I182" s="4" t="s">
        <v>227</v>
      </c>
      <c r="J182" s="4" t="s">
        <v>135</v>
      </c>
      <c r="K182" s="4" t="s">
        <v>228</v>
      </c>
      <c r="L182" s="16" t="s">
        <v>229</v>
      </c>
    </row>
    <row r="183" spans="1:12" ht="15.75">
      <c r="A183" s="4" t="s">
        <v>222</v>
      </c>
      <c r="B183" s="4">
        <v>2019</v>
      </c>
      <c r="C183" s="4" t="s">
        <v>290</v>
      </c>
      <c r="D183" s="4" t="s">
        <v>224</v>
      </c>
      <c r="E183" s="4">
        <v>5138.93</v>
      </c>
      <c r="F183" s="4" t="s">
        <v>225</v>
      </c>
      <c r="G183" s="4">
        <v>1</v>
      </c>
      <c r="H183" s="4" t="s">
        <v>226</v>
      </c>
      <c r="I183" s="4" t="s">
        <v>227</v>
      </c>
      <c r="J183" s="4" t="s">
        <v>135</v>
      </c>
      <c r="K183" s="4" t="s">
        <v>228</v>
      </c>
      <c r="L183" s="16" t="s">
        <v>229</v>
      </c>
    </row>
    <row r="184" spans="1:12" ht="15.75">
      <c r="A184" s="4" t="s">
        <v>222</v>
      </c>
      <c r="B184" s="4">
        <v>2019</v>
      </c>
      <c r="C184" s="4" t="s">
        <v>291</v>
      </c>
      <c r="D184" s="4" t="s">
        <v>224</v>
      </c>
      <c r="E184" s="4">
        <v>5177.47</v>
      </c>
      <c r="F184" s="4" t="s">
        <v>225</v>
      </c>
      <c r="G184" s="4">
        <v>1</v>
      </c>
      <c r="H184" s="4" t="s">
        <v>226</v>
      </c>
      <c r="I184" s="4" t="s">
        <v>227</v>
      </c>
      <c r="J184" s="4" t="s">
        <v>135</v>
      </c>
      <c r="K184" s="4" t="s">
        <v>228</v>
      </c>
      <c r="L184" s="16" t="s">
        <v>229</v>
      </c>
    </row>
    <row r="185" spans="1:12" ht="15.75">
      <c r="A185" s="4" t="s">
        <v>222</v>
      </c>
      <c r="B185" s="4">
        <v>2019</v>
      </c>
      <c r="C185" s="4" t="s">
        <v>292</v>
      </c>
      <c r="D185" s="4" t="s">
        <v>224</v>
      </c>
      <c r="E185" s="4">
        <v>5206.9799999999996</v>
      </c>
      <c r="F185" s="4" t="s">
        <v>225</v>
      </c>
      <c r="G185" s="4">
        <v>1</v>
      </c>
      <c r="H185" s="4" t="s">
        <v>226</v>
      </c>
      <c r="I185" s="4" t="s">
        <v>227</v>
      </c>
      <c r="J185" s="4" t="s">
        <v>135</v>
      </c>
      <c r="K185" s="4" t="s">
        <v>228</v>
      </c>
      <c r="L185" s="16" t="s">
        <v>229</v>
      </c>
    </row>
    <row r="186" spans="1:12" ht="15.75">
      <c r="A186" s="4" t="s">
        <v>222</v>
      </c>
      <c r="B186" s="4">
        <v>2019</v>
      </c>
      <c r="C186" s="4" t="s">
        <v>293</v>
      </c>
      <c r="D186" s="4" t="s">
        <v>224</v>
      </c>
      <c r="E186" s="4">
        <v>5213.75</v>
      </c>
      <c r="F186" s="4" t="s">
        <v>225</v>
      </c>
      <c r="G186" s="4">
        <v>1</v>
      </c>
      <c r="H186" s="4" t="s">
        <v>226</v>
      </c>
      <c r="I186" s="4" t="s">
        <v>227</v>
      </c>
      <c r="J186" s="4" t="s">
        <v>135</v>
      </c>
      <c r="K186" s="4" t="s">
        <v>228</v>
      </c>
      <c r="L186" s="16" t="s">
        <v>229</v>
      </c>
    </row>
    <row r="187" spans="1:12" ht="15.75">
      <c r="A187" s="4" t="s">
        <v>222</v>
      </c>
      <c r="B187" s="4">
        <v>2019</v>
      </c>
      <c r="C187" s="4" t="s">
        <v>294</v>
      </c>
      <c r="D187" s="4" t="s">
        <v>224</v>
      </c>
      <c r="E187" s="4">
        <v>5214.2700000000004</v>
      </c>
      <c r="F187" s="4" t="s">
        <v>225</v>
      </c>
      <c r="G187" s="4">
        <v>1</v>
      </c>
      <c r="H187" s="4" t="s">
        <v>226</v>
      </c>
      <c r="I187" s="4" t="s">
        <v>227</v>
      </c>
      <c r="J187" s="4" t="s">
        <v>135</v>
      </c>
      <c r="K187" s="4" t="s">
        <v>228</v>
      </c>
      <c r="L187" s="16" t="s">
        <v>229</v>
      </c>
    </row>
    <row r="188" spans="1:12" ht="15.75">
      <c r="A188" s="4" t="s">
        <v>222</v>
      </c>
      <c r="B188" s="4">
        <v>2019</v>
      </c>
      <c r="C188" s="4" t="s">
        <v>295</v>
      </c>
      <c r="D188" s="4" t="s">
        <v>224</v>
      </c>
      <c r="E188" s="4">
        <v>5224.18</v>
      </c>
      <c r="F188" s="4" t="s">
        <v>225</v>
      </c>
      <c r="G188" s="4">
        <v>1</v>
      </c>
      <c r="H188" s="4" t="s">
        <v>226</v>
      </c>
      <c r="I188" s="4" t="s">
        <v>227</v>
      </c>
      <c r="J188" s="4" t="s">
        <v>135</v>
      </c>
      <c r="K188" s="4" t="s">
        <v>228</v>
      </c>
      <c r="L188" s="16" t="s">
        <v>229</v>
      </c>
    </row>
    <row r="189" spans="1:12" ht="15.75">
      <c r="A189" s="4" t="s">
        <v>222</v>
      </c>
      <c r="B189" s="4">
        <v>2019</v>
      </c>
      <c r="C189" s="4" t="s">
        <v>296</v>
      </c>
      <c r="D189" s="4" t="s">
        <v>224</v>
      </c>
      <c r="E189" s="4">
        <v>5229.93</v>
      </c>
      <c r="F189" s="4" t="s">
        <v>225</v>
      </c>
      <c r="G189" s="4">
        <v>1</v>
      </c>
      <c r="H189" s="4" t="s">
        <v>226</v>
      </c>
      <c r="I189" s="4" t="s">
        <v>227</v>
      </c>
      <c r="J189" s="4" t="s">
        <v>135</v>
      </c>
      <c r="K189" s="4" t="s">
        <v>228</v>
      </c>
      <c r="L189" s="16" t="s">
        <v>229</v>
      </c>
    </row>
    <row r="190" spans="1:12" ht="15.75">
      <c r="A190" s="4" t="s">
        <v>222</v>
      </c>
      <c r="B190" s="4">
        <v>2019</v>
      </c>
      <c r="C190" s="4" t="s">
        <v>297</v>
      </c>
      <c r="D190" s="4" t="s">
        <v>224</v>
      </c>
      <c r="E190" s="4">
        <v>5227.84</v>
      </c>
      <c r="F190" s="4" t="s">
        <v>225</v>
      </c>
      <c r="G190" s="4">
        <v>1</v>
      </c>
      <c r="H190" s="4" t="s">
        <v>226</v>
      </c>
      <c r="I190" s="4" t="s">
        <v>227</v>
      </c>
      <c r="J190" s="4" t="s">
        <v>135</v>
      </c>
      <c r="K190" s="4" t="s">
        <v>228</v>
      </c>
      <c r="L190" s="16" t="s">
        <v>229</v>
      </c>
    </row>
    <row r="191" spans="1:12" ht="15.75">
      <c r="A191" s="4" t="s">
        <v>222</v>
      </c>
      <c r="B191" s="4">
        <v>2019</v>
      </c>
      <c r="C191" s="4" t="s">
        <v>298</v>
      </c>
      <c r="D191" s="4" t="s">
        <v>224</v>
      </c>
      <c r="E191" s="4">
        <v>5233.07</v>
      </c>
      <c r="F191" s="4" t="s">
        <v>225</v>
      </c>
      <c r="G191" s="4">
        <v>1</v>
      </c>
      <c r="H191" s="4" t="s">
        <v>226</v>
      </c>
      <c r="I191" s="4" t="s">
        <v>227</v>
      </c>
      <c r="J191" s="4" t="s">
        <v>135</v>
      </c>
      <c r="K191" s="4" t="s">
        <v>228</v>
      </c>
      <c r="L191" s="16" t="s">
        <v>229</v>
      </c>
    </row>
    <row r="192" spans="1:12" ht="15.75">
      <c r="A192" s="4" t="s">
        <v>222</v>
      </c>
      <c r="B192" s="4">
        <v>2019</v>
      </c>
      <c r="C192" s="4" t="s">
        <v>299</v>
      </c>
      <c r="D192" s="4" t="s">
        <v>224</v>
      </c>
      <c r="E192" s="4">
        <v>5259.76</v>
      </c>
      <c r="F192" s="4" t="s">
        <v>225</v>
      </c>
      <c r="G192" s="4">
        <v>1</v>
      </c>
      <c r="H192" s="4" t="s">
        <v>226</v>
      </c>
      <c r="I192" s="4" t="s">
        <v>227</v>
      </c>
      <c r="J192" s="4" t="s">
        <v>135</v>
      </c>
      <c r="K192" s="4" t="s">
        <v>228</v>
      </c>
      <c r="L192" s="16" t="s">
        <v>229</v>
      </c>
    </row>
    <row r="193" spans="1:12" ht="15.75">
      <c r="A193" s="4" t="s">
        <v>222</v>
      </c>
      <c r="B193" s="4">
        <v>2019</v>
      </c>
      <c r="C193" s="4" t="s">
        <v>300</v>
      </c>
      <c r="D193" s="4" t="s">
        <v>224</v>
      </c>
      <c r="E193" s="4">
        <v>5320.25</v>
      </c>
      <c r="F193" s="4" t="s">
        <v>225</v>
      </c>
      <c r="G193" s="4">
        <v>1</v>
      </c>
      <c r="H193" s="4" t="s">
        <v>226</v>
      </c>
      <c r="I193" s="4" t="s">
        <v>227</v>
      </c>
      <c r="J193" s="4" t="s">
        <v>135</v>
      </c>
      <c r="K193" s="4" t="s">
        <v>228</v>
      </c>
      <c r="L193" s="16" t="s">
        <v>229</v>
      </c>
    </row>
    <row r="194" spans="1:12" ht="15.75">
      <c r="A194" s="4" t="s">
        <v>222</v>
      </c>
      <c r="B194" s="4">
        <v>2020</v>
      </c>
      <c r="C194" s="4" t="s">
        <v>301</v>
      </c>
      <c r="D194" s="4" t="s">
        <v>224</v>
      </c>
      <c r="E194" s="4">
        <v>5331.42</v>
      </c>
      <c r="F194" s="4" t="s">
        <v>225</v>
      </c>
      <c r="G194" s="4">
        <v>1</v>
      </c>
      <c r="H194" s="4" t="s">
        <v>226</v>
      </c>
      <c r="I194" s="4" t="s">
        <v>227</v>
      </c>
      <c r="J194" s="4" t="s">
        <v>135</v>
      </c>
      <c r="K194" s="4" t="s">
        <v>228</v>
      </c>
      <c r="L194" s="16" t="s">
        <v>229</v>
      </c>
    </row>
    <row r="195" spans="1:12" ht="15.75">
      <c r="A195" s="4" t="s">
        <v>222</v>
      </c>
      <c r="B195" s="4">
        <v>2020</v>
      </c>
      <c r="C195" s="4" t="s">
        <v>302</v>
      </c>
      <c r="D195" s="4" t="s">
        <v>224</v>
      </c>
      <c r="E195" s="4">
        <v>5344.75</v>
      </c>
      <c r="F195" s="4" t="s">
        <v>225</v>
      </c>
      <c r="G195" s="4">
        <v>1</v>
      </c>
      <c r="H195" s="4" t="s">
        <v>226</v>
      </c>
      <c r="I195" s="4" t="s">
        <v>227</v>
      </c>
      <c r="J195" s="4" t="s">
        <v>135</v>
      </c>
      <c r="K195" s="4" t="s">
        <v>228</v>
      </c>
      <c r="L195" s="16" t="s">
        <v>229</v>
      </c>
    </row>
    <row r="196" spans="1:12" ht="15.75">
      <c r="A196" s="4" t="s">
        <v>222</v>
      </c>
      <c r="B196" s="4">
        <v>2020</v>
      </c>
      <c r="C196" s="4" t="s">
        <v>303</v>
      </c>
      <c r="D196" s="4" t="s">
        <v>224</v>
      </c>
      <c r="E196" s="4">
        <v>5348.49</v>
      </c>
      <c r="F196" s="4" t="s">
        <v>225</v>
      </c>
      <c r="G196" s="4">
        <v>1</v>
      </c>
      <c r="H196" s="4" t="s">
        <v>226</v>
      </c>
      <c r="I196" s="4" t="s">
        <v>227</v>
      </c>
      <c r="J196" s="4" t="s">
        <v>135</v>
      </c>
      <c r="K196" s="4" t="s">
        <v>228</v>
      </c>
      <c r="L196" s="16" t="s">
        <v>229</v>
      </c>
    </row>
    <row r="197" spans="1:12" ht="15.75">
      <c r="A197" s="4" t="s">
        <v>222</v>
      </c>
      <c r="B197" s="4">
        <v>2020</v>
      </c>
      <c r="C197" s="4" t="s">
        <v>304</v>
      </c>
      <c r="D197" s="4" t="s">
        <v>224</v>
      </c>
      <c r="E197" s="4">
        <v>5331.91</v>
      </c>
      <c r="F197" s="4" t="s">
        <v>225</v>
      </c>
      <c r="G197" s="4">
        <v>1</v>
      </c>
      <c r="H197" s="4" t="s">
        <v>226</v>
      </c>
      <c r="I197" s="4" t="s">
        <v>227</v>
      </c>
      <c r="J197" s="4" t="s">
        <v>135</v>
      </c>
      <c r="K197" s="4" t="s">
        <v>228</v>
      </c>
      <c r="L197" s="16" t="s">
        <v>229</v>
      </c>
    </row>
    <row r="198" spans="1:12" ht="15.75">
      <c r="A198" s="4" t="s">
        <v>222</v>
      </c>
      <c r="B198" s="4">
        <v>2020</v>
      </c>
      <c r="C198" s="4" t="s">
        <v>305</v>
      </c>
      <c r="D198" s="4" t="s">
        <v>224</v>
      </c>
      <c r="E198" s="4">
        <v>5311.65</v>
      </c>
      <c r="F198" s="4" t="s">
        <v>225</v>
      </c>
      <c r="G198" s="4">
        <v>1</v>
      </c>
      <c r="H198" s="4" t="s">
        <v>226</v>
      </c>
      <c r="I198" s="4" t="s">
        <v>227</v>
      </c>
      <c r="J198" s="4" t="s">
        <v>135</v>
      </c>
      <c r="K198" s="4" t="s">
        <v>228</v>
      </c>
      <c r="L198" s="16" t="s">
        <v>229</v>
      </c>
    </row>
    <row r="199" spans="1:12" ht="15.75">
      <c r="A199" s="4" t="s">
        <v>222</v>
      </c>
      <c r="B199" s="4">
        <v>2020</v>
      </c>
      <c r="C199" s="4" t="s">
        <v>306</v>
      </c>
      <c r="D199" s="4" t="s">
        <v>224</v>
      </c>
      <c r="E199" s="4">
        <v>5325.46</v>
      </c>
      <c r="F199" s="4" t="s">
        <v>225</v>
      </c>
      <c r="G199" s="4">
        <v>1</v>
      </c>
      <c r="H199" s="4" t="s">
        <v>226</v>
      </c>
      <c r="I199" s="4" t="s">
        <v>227</v>
      </c>
      <c r="J199" s="4" t="s">
        <v>135</v>
      </c>
      <c r="K199" s="4" t="s">
        <v>228</v>
      </c>
      <c r="L199" s="16" t="s">
        <v>229</v>
      </c>
    </row>
    <row r="200" spans="1:12" ht="15.75">
      <c r="A200" s="4" t="s">
        <v>222</v>
      </c>
      <c r="B200" s="4">
        <v>2020</v>
      </c>
      <c r="C200" s="4" t="s">
        <v>307</v>
      </c>
      <c r="D200" s="4" t="s">
        <v>224</v>
      </c>
      <c r="E200" s="4">
        <v>5344.63</v>
      </c>
      <c r="F200" s="4" t="s">
        <v>225</v>
      </c>
      <c r="G200" s="4">
        <v>1</v>
      </c>
      <c r="H200" s="4" t="s">
        <v>226</v>
      </c>
      <c r="I200" s="4" t="s">
        <v>227</v>
      </c>
      <c r="J200" s="4" t="s">
        <v>135</v>
      </c>
      <c r="K200" s="4" t="s">
        <v>228</v>
      </c>
      <c r="L200" s="16" t="s">
        <v>229</v>
      </c>
    </row>
    <row r="201" spans="1:12" ht="15.75">
      <c r="A201" s="4" t="s">
        <v>222</v>
      </c>
      <c r="B201" s="4">
        <v>2020</v>
      </c>
      <c r="C201" s="4" t="s">
        <v>308</v>
      </c>
      <c r="D201" s="4" t="s">
        <v>224</v>
      </c>
      <c r="E201" s="4">
        <v>5357.46</v>
      </c>
      <c r="F201" s="4" t="s">
        <v>225</v>
      </c>
      <c r="G201" s="4">
        <v>1</v>
      </c>
      <c r="H201" s="4" t="s">
        <v>226</v>
      </c>
      <c r="I201" s="4" t="s">
        <v>227</v>
      </c>
      <c r="J201" s="4" t="s">
        <v>135</v>
      </c>
      <c r="K201" s="4" t="s">
        <v>228</v>
      </c>
      <c r="L201" s="16" t="s">
        <v>229</v>
      </c>
    </row>
    <row r="202" spans="1:12" ht="15.75">
      <c r="A202" s="4" t="s">
        <v>222</v>
      </c>
      <c r="B202" s="4">
        <v>2020</v>
      </c>
      <c r="C202" s="4" t="s">
        <v>309</v>
      </c>
      <c r="D202" s="4" t="s">
        <v>224</v>
      </c>
      <c r="E202" s="4">
        <v>5391.75</v>
      </c>
      <c r="F202" s="4" t="s">
        <v>225</v>
      </c>
      <c r="G202" s="4">
        <v>1</v>
      </c>
      <c r="H202" s="4" t="s">
        <v>226</v>
      </c>
      <c r="I202" s="4" t="s">
        <v>227</v>
      </c>
      <c r="J202" s="4" t="s">
        <v>135</v>
      </c>
      <c r="K202" s="4" t="s">
        <v>228</v>
      </c>
      <c r="L202" s="16" t="s">
        <v>229</v>
      </c>
    </row>
    <row r="203" spans="1:12" ht="15.75">
      <c r="A203" s="4" t="s">
        <v>222</v>
      </c>
      <c r="B203" s="4">
        <v>2020</v>
      </c>
      <c r="C203" s="4" t="s">
        <v>310</v>
      </c>
      <c r="D203" s="4" t="s">
        <v>224</v>
      </c>
      <c r="E203" s="4">
        <v>5438.12</v>
      </c>
      <c r="F203" s="4" t="s">
        <v>225</v>
      </c>
      <c r="G203" s="4">
        <v>1</v>
      </c>
      <c r="H203" s="4" t="s">
        <v>226</v>
      </c>
      <c r="I203" s="4" t="s">
        <v>227</v>
      </c>
      <c r="J203" s="4" t="s">
        <v>135</v>
      </c>
      <c r="K203" s="4" t="s">
        <v>228</v>
      </c>
      <c r="L203" s="16" t="s">
        <v>229</v>
      </c>
    </row>
    <row r="204" spans="1:12" ht="15.75">
      <c r="A204" s="4" t="s">
        <v>222</v>
      </c>
      <c r="B204" s="4">
        <v>2020</v>
      </c>
      <c r="C204" s="4" t="s">
        <v>311</v>
      </c>
      <c r="D204" s="4" t="s">
        <v>224</v>
      </c>
      <c r="E204" s="4">
        <v>5486.52</v>
      </c>
      <c r="F204" s="4" t="s">
        <v>225</v>
      </c>
      <c r="G204" s="4">
        <v>1</v>
      </c>
      <c r="H204" s="4" t="s">
        <v>226</v>
      </c>
      <c r="I204" s="4" t="s">
        <v>227</v>
      </c>
      <c r="J204" s="4" t="s">
        <v>135</v>
      </c>
      <c r="K204" s="4" t="s">
        <v>228</v>
      </c>
      <c r="L204" s="16" t="s">
        <v>229</v>
      </c>
    </row>
    <row r="205" spans="1:12" ht="15.75">
      <c r="A205" s="4" t="s">
        <v>222</v>
      </c>
      <c r="B205" s="4">
        <v>2020</v>
      </c>
      <c r="C205" s="4" t="s">
        <v>312</v>
      </c>
      <c r="D205" s="4" t="s">
        <v>224</v>
      </c>
      <c r="E205" s="4">
        <v>5560.59</v>
      </c>
      <c r="F205" s="4" t="s">
        <v>225</v>
      </c>
      <c r="G205" s="4">
        <v>1</v>
      </c>
      <c r="H205" s="4" t="s">
        <v>226</v>
      </c>
      <c r="I205" s="4" t="s">
        <v>227</v>
      </c>
      <c r="J205" s="4" t="s">
        <v>135</v>
      </c>
      <c r="K205" s="4" t="s">
        <v>228</v>
      </c>
      <c r="L205" s="16" t="s">
        <v>229</v>
      </c>
    </row>
    <row r="206" spans="1:12" ht="15.75">
      <c r="A206" s="4" t="s">
        <v>222</v>
      </c>
      <c r="B206" s="4">
        <v>2021</v>
      </c>
      <c r="C206" s="4" t="s">
        <v>313</v>
      </c>
      <c r="D206" s="4" t="s">
        <v>224</v>
      </c>
      <c r="E206" s="4">
        <v>5574.49</v>
      </c>
      <c r="F206" s="4" t="s">
        <v>225</v>
      </c>
      <c r="G206" s="4">
        <v>1</v>
      </c>
      <c r="H206" s="4" t="s">
        <v>226</v>
      </c>
      <c r="I206" s="4" t="s">
        <v>227</v>
      </c>
      <c r="J206" s="4" t="s">
        <v>135</v>
      </c>
      <c r="K206" s="4" t="s">
        <v>228</v>
      </c>
      <c r="L206" s="16" t="s">
        <v>229</v>
      </c>
    </row>
    <row r="207" spans="1:12" ht="15.75">
      <c r="A207" s="4" t="s">
        <v>222</v>
      </c>
      <c r="B207" s="4">
        <v>2021</v>
      </c>
      <c r="C207" s="4" t="s">
        <v>314</v>
      </c>
      <c r="D207" s="4" t="s">
        <v>224</v>
      </c>
      <c r="E207" s="4">
        <v>5622.43</v>
      </c>
      <c r="F207" s="4" t="s">
        <v>225</v>
      </c>
      <c r="G207" s="4">
        <v>1</v>
      </c>
      <c r="H207" s="4" t="s">
        <v>226</v>
      </c>
      <c r="I207" s="4" t="s">
        <v>227</v>
      </c>
      <c r="J207" s="4" t="s">
        <v>135</v>
      </c>
      <c r="K207" s="4" t="s">
        <v>228</v>
      </c>
      <c r="L207" s="16" t="s">
        <v>229</v>
      </c>
    </row>
    <row r="208" spans="1:12" ht="15.75">
      <c r="A208" s="4" t="s">
        <v>222</v>
      </c>
      <c r="B208" s="4">
        <v>2021</v>
      </c>
      <c r="C208" s="4" t="s">
        <v>315</v>
      </c>
      <c r="D208" s="4" t="s">
        <v>224</v>
      </c>
      <c r="E208" s="4">
        <v>5674.72</v>
      </c>
      <c r="F208" s="4" t="s">
        <v>225</v>
      </c>
      <c r="G208" s="4">
        <v>1</v>
      </c>
      <c r="H208" s="4" t="s">
        <v>226</v>
      </c>
      <c r="I208" s="4" t="s">
        <v>227</v>
      </c>
      <c r="J208" s="4" t="s">
        <v>135</v>
      </c>
      <c r="K208" s="4" t="s">
        <v>228</v>
      </c>
      <c r="L208" s="16" t="s">
        <v>229</v>
      </c>
    </row>
    <row r="209" spans="1:12" ht="15.75">
      <c r="A209" s="4" t="s">
        <v>222</v>
      </c>
      <c r="B209" s="4">
        <v>2021</v>
      </c>
      <c r="C209" s="4" t="s">
        <v>316</v>
      </c>
      <c r="D209" s="4" t="s">
        <v>224</v>
      </c>
      <c r="E209" s="4">
        <v>5692.31</v>
      </c>
      <c r="F209" s="4" t="s">
        <v>225</v>
      </c>
      <c r="G209" s="4">
        <v>1</v>
      </c>
      <c r="H209" s="4" t="s">
        <v>226</v>
      </c>
      <c r="I209" s="4" t="s">
        <v>227</v>
      </c>
      <c r="J209" s="4" t="s">
        <v>135</v>
      </c>
      <c r="K209" s="4" t="s">
        <v>228</v>
      </c>
      <c r="L209" s="16" t="s">
        <v>229</v>
      </c>
    </row>
    <row r="210" spans="1:12" ht="15.75">
      <c r="A210" s="4" t="s">
        <v>222</v>
      </c>
      <c r="B210" s="4">
        <v>2021</v>
      </c>
      <c r="C210" s="4" t="s">
        <v>317</v>
      </c>
      <c r="D210" s="4" t="s">
        <v>224</v>
      </c>
      <c r="E210" s="4">
        <v>5739.56</v>
      </c>
      <c r="F210" s="4" t="s">
        <v>225</v>
      </c>
      <c r="G210" s="4">
        <v>1</v>
      </c>
      <c r="H210" s="4" t="s">
        <v>226</v>
      </c>
      <c r="I210" s="4" t="s">
        <v>227</v>
      </c>
      <c r="J210" s="4" t="s">
        <v>135</v>
      </c>
      <c r="K210" s="4" t="s">
        <v>228</v>
      </c>
      <c r="L210" s="16" t="s">
        <v>229</v>
      </c>
    </row>
    <row r="211" spans="1:12" ht="15.75">
      <c r="A211" s="4" t="s">
        <v>222</v>
      </c>
      <c r="B211" s="4">
        <v>2021</v>
      </c>
      <c r="C211" s="4" t="s">
        <v>318</v>
      </c>
      <c r="D211" s="4" t="s">
        <v>224</v>
      </c>
      <c r="E211" s="4">
        <v>5769.98</v>
      </c>
      <c r="F211" s="4" t="s">
        <v>225</v>
      </c>
      <c r="G211" s="4">
        <v>1</v>
      </c>
      <c r="H211" s="4" t="s">
        <v>226</v>
      </c>
      <c r="I211" s="4" t="s">
        <v>227</v>
      </c>
      <c r="J211" s="4" t="s">
        <v>135</v>
      </c>
      <c r="K211" s="4" t="s">
        <v>228</v>
      </c>
      <c r="L211" s="16" t="s">
        <v>229</v>
      </c>
    </row>
    <row r="212" spans="1:12" ht="15.75">
      <c r="A212" s="4" t="s">
        <v>222</v>
      </c>
      <c r="B212" s="4">
        <v>2021</v>
      </c>
      <c r="C212" s="4" t="s">
        <v>319</v>
      </c>
      <c r="D212" s="4" t="s">
        <v>224</v>
      </c>
      <c r="E212" s="4">
        <v>5825.37</v>
      </c>
      <c r="F212" s="4" t="s">
        <v>225</v>
      </c>
      <c r="G212" s="4">
        <v>1</v>
      </c>
      <c r="H212" s="4" t="s">
        <v>226</v>
      </c>
      <c r="I212" s="4" t="s">
        <v>227</v>
      </c>
      <c r="J212" s="4" t="s">
        <v>135</v>
      </c>
      <c r="K212" s="4" t="s">
        <v>228</v>
      </c>
      <c r="L212" s="16" t="s">
        <v>229</v>
      </c>
    </row>
    <row r="213" spans="1:12" ht="15.75">
      <c r="A213" s="4" t="s">
        <v>222</v>
      </c>
      <c r="B213" s="4">
        <v>2021</v>
      </c>
      <c r="C213" s="4" t="s">
        <v>320</v>
      </c>
      <c r="D213" s="4" t="s">
        <v>224</v>
      </c>
      <c r="E213" s="4">
        <v>5876.05</v>
      </c>
      <c r="F213" s="4" t="s">
        <v>225</v>
      </c>
      <c r="G213" s="4">
        <v>1</v>
      </c>
      <c r="H213" s="4" t="s">
        <v>226</v>
      </c>
      <c r="I213" s="4" t="s">
        <v>227</v>
      </c>
      <c r="J213" s="4" t="s">
        <v>135</v>
      </c>
      <c r="K213" s="4" t="s">
        <v>228</v>
      </c>
      <c r="L213" s="16" t="s">
        <v>229</v>
      </c>
    </row>
    <row r="214" spans="1:12" ht="15.75">
      <c r="A214" s="4" t="s">
        <v>222</v>
      </c>
      <c r="B214" s="4">
        <v>2021</v>
      </c>
      <c r="C214" s="4" t="s">
        <v>321</v>
      </c>
      <c r="D214" s="4" t="s">
        <v>224</v>
      </c>
      <c r="E214" s="4">
        <v>5944.21</v>
      </c>
      <c r="F214" s="4" t="s">
        <v>225</v>
      </c>
      <c r="G214" s="4">
        <v>1</v>
      </c>
      <c r="H214" s="4" t="s">
        <v>226</v>
      </c>
      <c r="I214" s="4" t="s">
        <v>227</v>
      </c>
      <c r="J214" s="4" t="s">
        <v>135</v>
      </c>
      <c r="K214" s="4" t="s">
        <v>228</v>
      </c>
      <c r="L214" s="16" t="s">
        <v>229</v>
      </c>
    </row>
    <row r="215" spans="1:12" ht="15.75">
      <c r="A215" s="4" t="s">
        <v>222</v>
      </c>
      <c r="B215" s="4">
        <v>2021</v>
      </c>
      <c r="C215" s="4" t="s">
        <v>322</v>
      </c>
      <c r="D215" s="4" t="s">
        <v>224</v>
      </c>
      <c r="E215" s="4">
        <v>6018.51</v>
      </c>
      <c r="F215" s="4" t="s">
        <v>225</v>
      </c>
      <c r="G215" s="4">
        <v>1</v>
      </c>
      <c r="H215" s="4" t="s">
        <v>226</v>
      </c>
      <c r="I215" s="4" t="s">
        <v>227</v>
      </c>
      <c r="J215" s="4" t="s">
        <v>135</v>
      </c>
      <c r="K215" s="4" t="s">
        <v>228</v>
      </c>
      <c r="L215" s="16" t="s">
        <v>229</v>
      </c>
    </row>
    <row r="216" spans="1:12" ht="15.75">
      <c r="A216" s="4" t="s">
        <v>222</v>
      </c>
      <c r="B216" s="4">
        <v>2021</v>
      </c>
      <c r="C216" s="4" t="s">
        <v>323</v>
      </c>
      <c r="D216" s="4" t="s">
        <v>224</v>
      </c>
      <c r="E216" s="4">
        <v>6075.69</v>
      </c>
      <c r="F216" s="4" t="s">
        <v>225</v>
      </c>
      <c r="G216" s="4">
        <v>1</v>
      </c>
      <c r="H216" s="4" t="s">
        <v>226</v>
      </c>
      <c r="I216" s="4" t="s">
        <v>227</v>
      </c>
      <c r="J216" s="4" t="s">
        <v>135</v>
      </c>
      <c r="K216" s="4" t="s">
        <v>228</v>
      </c>
      <c r="L216" s="16" t="s">
        <v>229</v>
      </c>
    </row>
    <row r="217" spans="1:12" ht="15.75">
      <c r="A217" s="4" t="s">
        <v>222</v>
      </c>
      <c r="B217" s="4">
        <v>2021</v>
      </c>
      <c r="C217" s="4" t="s">
        <v>324</v>
      </c>
      <c r="D217" s="4" t="s">
        <v>224</v>
      </c>
      <c r="E217" s="4">
        <v>6120.04</v>
      </c>
      <c r="F217" s="4" t="s">
        <v>225</v>
      </c>
      <c r="G217" s="4">
        <v>1</v>
      </c>
      <c r="H217" s="4" t="s">
        <v>226</v>
      </c>
      <c r="I217" s="4" t="s">
        <v>227</v>
      </c>
      <c r="J217" s="4" t="s">
        <v>135</v>
      </c>
      <c r="K217" s="4" t="s">
        <v>228</v>
      </c>
      <c r="L217" s="16" t="s">
        <v>229</v>
      </c>
    </row>
    <row r="218" spans="1:12" ht="15.75">
      <c r="A218" s="4" t="s">
        <v>222</v>
      </c>
      <c r="B218" s="4">
        <v>2022</v>
      </c>
      <c r="C218" s="4" t="s">
        <v>325</v>
      </c>
      <c r="D218" s="4" t="s">
        <v>224</v>
      </c>
      <c r="E218" s="4">
        <v>6153.09</v>
      </c>
      <c r="F218" s="4" t="s">
        <v>225</v>
      </c>
      <c r="G218" s="4">
        <v>1</v>
      </c>
      <c r="H218" s="4" t="s">
        <v>226</v>
      </c>
      <c r="I218" s="4" t="s">
        <v>227</v>
      </c>
      <c r="J218" s="4" t="s">
        <v>135</v>
      </c>
      <c r="K218" s="4" t="s">
        <v>228</v>
      </c>
      <c r="L218" s="16" t="s">
        <v>229</v>
      </c>
    </row>
    <row r="219" spans="1:12" ht="15.75">
      <c r="A219" s="4" t="s">
        <v>222</v>
      </c>
      <c r="B219" s="4">
        <v>2022</v>
      </c>
      <c r="C219" s="4" t="s">
        <v>326</v>
      </c>
      <c r="D219" s="4" t="s">
        <v>224</v>
      </c>
      <c r="E219" s="4">
        <v>6215.24</v>
      </c>
      <c r="F219" s="4" t="s">
        <v>225</v>
      </c>
      <c r="G219" s="4">
        <v>1</v>
      </c>
      <c r="H219" s="4" t="s">
        <v>226</v>
      </c>
      <c r="I219" s="4" t="s">
        <v>227</v>
      </c>
      <c r="J219" s="4" t="s">
        <v>135</v>
      </c>
      <c r="K219" s="4" t="s">
        <v>228</v>
      </c>
      <c r="L219" s="16" t="s">
        <v>229</v>
      </c>
    </row>
    <row r="220" spans="1:12" ht="15.75">
      <c r="A220" s="4" t="s">
        <v>222</v>
      </c>
      <c r="B220" s="4">
        <v>2022</v>
      </c>
      <c r="C220" s="4" t="s">
        <v>327</v>
      </c>
      <c r="D220" s="4" t="s">
        <v>224</v>
      </c>
      <c r="E220" s="4">
        <v>6315.93</v>
      </c>
      <c r="F220" s="4" t="s">
        <v>225</v>
      </c>
      <c r="G220" s="4">
        <v>1</v>
      </c>
      <c r="H220" s="4" t="s">
        <v>226</v>
      </c>
      <c r="I220" s="4" t="s">
        <v>227</v>
      </c>
      <c r="J220" s="4" t="s">
        <v>135</v>
      </c>
      <c r="K220" s="4" t="s">
        <v>228</v>
      </c>
      <c r="L220" s="16" t="s">
        <v>229</v>
      </c>
    </row>
    <row r="221" spans="1:12" ht="15.75">
      <c r="A221" s="4" t="s">
        <v>222</v>
      </c>
      <c r="B221" s="4">
        <v>2022</v>
      </c>
      <c r="C221" s="4" t="s">
        <v>328</v>
      </c>
      <c r="D221" s="4" t="s">
        <v>224</v>
      </c>
      <c r="E221" s="4">
        <v>6382.88</v>
      </c>
      <c r="F221" s="4" t="s">
        <v>225</v>
      </c>
      <c r="G221" s="4">
        <v>1</v>
      </c>
      <c r="H221" s="4" t="s">
        <v>226</v>
      </c>
      <c r="I221" s="4" t="s">
        <v>227</v>
      </c>
      <c r="J221" s="4" t="s">
        <v>135</v>
      </c>
      <c r="K221" s="4" t="s">
        <v>228</v>
      </c>
      <c r="L221" s="16" t="s">
        <v>229</v>
      </c>
    </row>
    <row r="222" spans="1:12" ht="15.75">
      <c r="A222" s="4" t="s">
        <v>222</v>
      </c>
      <c r="B222" s="4">
        <v>2022</v>
      </c>
      <c r="C222" s="4" t="s">
        <v>329</v>
      </c>
      <c r="D222" s="4" t="s">
        <v>224</v>
      </c>
      <c r="E222" s="4">
        <v>6412.88</v>
      </c>
      <c r="F222" s="4" t="s">
        <v>225</v>
      </c>
      <c r="G222" s="4">
        <v>1</v>
      </c>
      <c r="H222" s="4" t="s">
        <v>226</v>
      </c>
      <c r="I222" s="4" t="s">
        <v>227</v>
      </c>
      <c r="J222" s="4" t="s">
        <v>135</v>
      </c>
      <c r="K222" s="4" t="s">
        <v>228</v>
      </c>
      <c r="L222" s="16" t="s">
        <v>229</v>
      </c>
    </row>
    <row r="223" spans="1:12" ht="15.75">
      <c r="A223" s="4" t="s">
        <v>222</v>
      </c>
      <c r="B223" s="4">
        <v>2022</v>
      </c>
      <c r="C223" s="4" t="s">
        <v>330</v>
      </c>
      <c r="D223" s="4" t="s">
        <v>224</v>
      </c>
      <c r="E223" s="4">
        <v>6455.85</v>
      </c>
      <c r="F223" s="4" t="s">
        <v>225</v>
      </c>
      <c r="G223" s="4">
        <v>1</v>
      </c>
      <c r="H223" s="4" t="s">
        <v>226</v>
      </c>
      <c r="I223" s="4" t="s">
        <v>227</v>
      </c>
      <c r="J223" s="4" t="s">
        <v>135</v>
      </c>
      <c r="K223" s="4" t="s">
        <v>228</v>
      </c>
      <c r="L223" s="16" t="s">
        <v>229</v>
      </c>
    </row>
    <row r="224" spans="1:12" ht="15.75">
      <c r="A224" s="4" t="s">
        <v>222</v>
      </c>
      <c r="B224" s="4">
        <v>2022</v>
      </c>
      <c r="C224" s="4" t="s">
        <v>331</v>
      </c>
      <c r="D224" s="4" t="s">
        <v>224</v>
      </c>
      <c r="E224" s="4">
        <v>6411.95</v>
      </c>
      <c r="F224" s="4" t="s">
        <v>225</v>
      </c>
      <c r="G224" s="4">
        <v>1</v>
      </c>
      <c r="H224" s="4" t="s">
        <v>226</v>
      </c>
      <c r="I224" s="4" t="s">
        <v>227</v>
      </c>
      <c r="J224" s="4" t="s">
        <v>135</v>
      </c>
      <c r="K224" s="4" t="s">
        <v>228</v>
      </c>
      <c r="L224" s="16" t="s">
        <v>229</v>
      </c>
    </row>
    <row r="225" spans="1:12" ht="15.75">
      <c r="A225" s="4" t="s">
        <v>222</v>
      </c>
      <c r="B225" s="4">
        <v>2022</v>
      </c>
      <c r="C225" s="4" t="s">
        <v>332</v>
      </c>
      <c r="D225" s="4" t="s">
        <v>224</v>
      </c>
      <c r="E225" s="4">
        <v>6388.87</v>
      </c>
      <c r="F225" s="4" t="s">
        <v>225</v>
      </c>
      <c r="G225" s="4">
        <v>1</v>
      </c>
      <c r="H225" s="4" t="s">
        <v>226</v>
      </c>
      <c r="I225" s="4" t="s">
        <v>227</v>
      </c>
      <c r="J225" s="4" t="s">
        <v>135</v>
      </c>
      <c r="K225" s="4" t="s">
        <v>228</v>
      </c>
      <c r="L225" s="16" t="s">
        <v>229</v>
      </c>
    </row>
    <row r="226" spans="1:12" ht="15.75">
      <c r="A226" s="4" t="s">
        <v>222</v>
      </c>
      <c r="B226" s="4">
        <v>2022</v>
      </c>
      <c r="C226" s="4" t="s">
        <v>333</v>
      </c>
      <c r="D226" s="4" t="s">
        <v>224</v>
      </c>
      <c r="E226" s="4">
        <v>6370.34</v>
      </c>
      <c r="F226" s="4" t="s">
        <v>225</v>
      </c>
      <c r="G226" s="4">
        <v>1</v>
      </c>
      <c r="H226" s="4" t="s">
        <v>226</v>
      </c>
      <c r="I226" s="4" t="s">
        <v>227</v>
      </c>
      <c r="J226" s="4" t="s">
        <v>135</v>
      </c>
      <c r="K226" s="4" t="s">
        <v>228</v>
      </c>
      <c r="L226" s="16" t="s">
        <v>229</v>
      </c>
    </row>
    <row r="227" spans="1:12" ht="15.75">
      <c r="A227" s="4" t="s">
        <v>222</v>
      </c>
      <c r="B227" s="4">
        <v>2022</v>
      </c>
      <c r="C227" s="4" t="s">
        <v>334</v>
      </c>
      <c r="D227" s="4" t="s">
        <v>224</v>
      </c>
      <c r="E227" s="4">
        <v>6407.93</v>
      </c>
      <c r="F227" s="4" t="s">
        <v>225</v>
      </c>
      <c r="G227" s="4">
        <v>1</v>
      </c>
      <c r="H227" s="4" t="s">
        <v>226</v>
      </c>
      <c r="I227" s="4" t="s">
        <v>227</v>
      </c>
      <c r="J227" s="4" t="s">
        <v>135</v>
      </c>
      <c r="K227" s="4" t="s">
        <v>228</v>
      </c>
      <c r="L227" s="16" t="s">
        <v>229</v>
      </c>
    </row>
    <row r="228" spans="1:12" ht="15.75">
      <c r="A228" s="4" t="s">
        <v>222</v>
      </c>
      <c r="B228" s="4">
        <v>2022</v>
      </c>
      <c r="C228" s="4" t="s">
        <v>335</v>
      </c>
      <c r="D228" s="4" t="s">
        <v>224</v>
      </c>
      <c r="E228" s="4">
        <v>6434.2</v>
      </c>
      <c r="F228" s="4" t="s">
        <v>225</v>
      </c>
      <c r="G228" s="4">
        <v>1</v>
      </c>
      <c r="H228" s="4" t="s">
        <v>226</v>
      </c>
      <c r="I228" s="4" t="s">
        <v>227</v>
      </c>
      <c r="J228" s="4" t="s">
        <v>135</v>
      </c>
      <c r="K228" s="4" t="s">
        <v>228</v>
      </c>
      <c r="L228" s="16" t="s">
        <v>229</v>
      </c>
    </row>
    <row r="229" spans="1:12" ht="15.75">
      <c r="A229" s="4" t="s">
        <v>222</v>
      </c>
      <c r="B229" s="4">
        <v>2022</v>
      </c>
      <c r="C229" s="4" t="s">
        <v>336</v>
      </c>
      <c r="D229" s="4" t="s">
        <v>224</v>
      </c>
      <c r="E229" s="4">
        <v>6474.09</v>
      </c>
      <c r="F229" s="4" t="s">
        <v>225</v>
      </c>
      <c r="G229" s="4">
        <v>1</v>
      </c>
      <c r="H229" s="4" t="s">
        <v>226</v>
      </c>
      <c r="I229" s="4" t="s">
        <v>227</v>
      </c>
      <c r="J229" s="4" t="s">
        <v>135</v>
      </c>
      <c r="K229" s="4" t="s">
        <v>228</v>
      </c>
      <c r="L229" s="16" t="s">
        <v>229</v>
      </c>
    </row>
    <row r="230" spans="1:12" ht="15.75">
      <c r="A230" s="4" t="s">
        <v>222</v>
      </c>
      <c r="B230" s="4">
        <v>2023</v>
      </c>
      <c r="C230" s="4" t="s">
        <v>337</v>
      </c>
      <c r="D230" s="4" t="s">
        <v>224</v>
      </c>
      <c r="E230" s="4">
        <v>6508.4</v>
      </c>
      <c r="F230" s="4" t="s">
        <v>225</v>
      </c>
      <c r="G230" s="4">
        <v>1</v>
      </c>
      <c r="H230" s="4" t="s">
        <v>226</v>
      </c>
      <c r="I230" s="4" t="s">
        <v>227</v>
      </c>
      <c r="J230" s="4" t="s">
        <v>135</v>
      </c>
      <c r="K230" s="4" t="s">
        <v>228</v>
      </c>
      <c r="L230" s="16" t="s">
        <v>229</v>
      </c>
    </row>
    <row r="231" spans="1:12" ht="15.75">
      <c r="A231" s="4" t="s">
        <v>222</v>
      </c>
      <c r="B231" s="4">
        <v>2023</v>
      </c>
      <c r="C231" s="4" t="s">
        <v>338</v>
      </c>
      <c r="D231" s="4" t="s">
        <v>224</v>
      </c>
      <c r="E231" s="4">
        <v>6563.07</v>
      </c>
      <c r="F231" s="4" t="s">
        <v>225</v>
      </c>
      <c r="G231" s="4">
        <v>1</v>
      </c>
      <c r="H231" s="4" t="s">
        <v>226</v>
      </c>
      <c r="I231" s="4" t="s">
        <v>227</v>
      </c>
      <c r="J231" s="4" t="s">
        <v>135</v>
      </c>
      <c r="K231" s="4" t="s">
        <v>228</v>
      </c>
      <c r="L231" s="16" t="s">
        <v>229</v>
      </c>
    </row>
    <row r="232" spans="1:12" ht="15.75">
      <c r="A232" s="4" t="s">
        <v>222</v>
      </c>
      <c r="B232" s="4">
        <v>2023</v>
      </c>
      <c r="C232" s="4" t="s">
        <v>339</v>
      </c>
      <c r="D232" s="4" t="s">
        <v>224</v>
      </c>
      <c r="E232" s="4">
        <v>6609.67</v>
      </c>
      <c r="F232" s="4" t="s">
        <v>225</v>
      </c>
      <c r="G232" s="4">
        <v>1</v>
      </c>
      <c r="H232" s="4" t="s">
        <v>226</v>
      </c>
      <c r="I232" s="4" t="s">
        <v>227</v>
      </c>
      <c r="J232" s="4" t="s">
        <v>135</v>
      </c>
      <c r="K232" s="4" t="s">
        <v>228</v>
      </c>
      <c r="L232" s="16" t="s">
        <v>229</v>
      </c>
    </row>
    <row r="233" spans="1:12" ht="15.75">
      <c r="A233" s="4" t="s">
        <v>222</v>
      </c>
      <c r="B233" s="4">
        <v>2023</v>
      </c>
      <c r="C233" s="4" t="s">
        <v>340</v>
      </c>
      <c r="D233" s="4" t="s">
        <v>224</v>
      </c>
      <c r="E233" s="4">
        <v>6649.99</v>
      </c>
      <c r="F233" s="4" t="s">
        <v>225</v>
      </c>
      <c r="G233" s="4">
        <v>1</v>
      </c>
      <c r="H233" s="4" t="s">
        <v>226</v>
      </c>
      <c r="I233" s="4" t="s">
        <v>227</v>
      </c>
      <c r="J233" s="4" t="s">
        <v>135</v>
      </c>
      <c r="K233" s="4" t="s">
        <v>228</v>
      </c>
      <c r="L233" s="16" t="s">
        <v>229</v>
      </c>
    </row>
    <row r="234" spans="1:12" ht="15.75">
      <c r="A234" s="4" t="s">
        <v>222</v>
      </c>
      <c r="B234" s="4">
        <v>2023</v>
      </c>
      <c r="C234" s="4" t="s">
        <v>341</v>
      </c>
      <c r="D234" s="4" t="s">
        <v>224</v>
      </c>
      <c r="E234" s="4">
        <v>6665.28</v>
      </c>
      <c r="F234" s="4" t="s">
        <v>225</v>
      </c>
      <c r="G234" s="4">
        <v>1</v>
      </c>
      <c r="H234" s="4" t="s">
        <v>226</v>
      </c>
      <c r="I234" s="4" t="s">
        <v>227</v>
      </c>
      <c r="J234" s="4" t="s">
        <v>135</v>
      </c>
      <c r="K234" s="4" t="s">
        <v>228</v>
      </c>
      <c r="L234" s="16" t="s">
        <v>229</v>
      </c>
    </row>
    <row r="235" spans="1:12" ht="15.75">
      <c r="A235" s="4" t="s">
        <v>222</v>
      </c>
      <c r="B235" s="4">
        <v>2023</v>
      </c>
      <c r="C235" s="4" t="s">
        <v>342</v>
      </c>
      <c r="D235" s="4" t="s">
        <v>224</v>
      </c>
      <c r="E235" s="4">
        <v>6659.95</v>
      </c>
      <c r="F235" s="4" t="s">
        <v>225</v>
      </c>
      <c r="G235" s="4">
        <v>1</v>
      </c>
      <c r="H235" s="4" t="s">
        <v>226</v>
      </c>
      <c r="I235" s="4" t="s">
        <v>227</v>
      </c>
      <c r="J235" s="4" t="s">
        <v>135</v>
      </c>
      <c r="K235" s="4" t="s">
        <v>228</v>
      </c>
      <c r="L235" s="16" t="s">
        <v>229</v>
      </c>
    </row>
    <row r="236" spans="1:12" ht="15.75">
      <c r="A236" s="4" t="s">
        <v>222</v>
      </c>
      <c r="B236" s="4">
        <v>2023</v>
      </c>
      <c r="C236" s="4" t="s">
        <v>343</v>
      </c>
      <c r="D236" s="4" t="s">
        <v>224</v>
      </c>
      <c r="E236" s="4">
        <v>6667.94</v>
      </c>
      <c r="F236" s="4" t="s">
        <v>225</v>
      </c>
      <c r="G236" s="4">
        <v>1</v>
      </c>
      <c r="H236" s="4" t="s">
        <v>226</v>
      </c>
      <c r="I236" s="4" t="s">
        <v>227</v>
      </c>
      <c r="J236" s="4" t="s">
        <v>135</v>
      </c>
      <c r="K236" s="4" t="s">
        <v>228</v>
      </c>
      <c r="L236" s="16" t="s">
        <v>229</v>
      </c>
    </row>
    <row r="237" spans="1:12" ht="15.75">
      <c r="A237" s="4" t="s">
        <v>222</v>
      </c>
      <c r="B237" s="4">
        <v>2023</v>
      </c>
      <c r="C237" s="4" t="s">
        <v>344</v>
      </c>
      <c r="D237" s="4" t="s">
        <v>224</v>
      </c>
      <c r="E237" s="4">
        <v>6683.28</v>
      </c>
      <c r="F237" s="4" t="s">
        <v>225</v>
      </c>
      <c r="G237" s="4">
        <v>1</v>
      </c>
      <c r="H237" s="4" t="s">
        <v>226</v>
      </c>
      <c r="I237" s="4" t="s">
        <v>227</v>
      </c>
      <c r="J237" s="4" t="s">
        <v>135</v>
      </c>
      <c r="K237" s="4" t="s">
        <v>228</v>
      </c>
      <c r="L237" s="16" t="s">
        <v>229</v>
      </c>
    </row>
    <row r="238" spans="1:12" ht="15.75">
      <c r="A238" s="4" t="s">
        <v>222</v>
      </c>
      <c r="B238" s="4">
        <v>2023</v>
      </c>
      <c r="C238" s="4" t="s">
        <v>345</v>
      </c>
      <c r="D238" s="4" t="s">
        <v>224</v>
      </c>
      <c r="E238" s="4">
        <v>6700.66</v>
      </c>
      <c r="F238" s="4" t="s">
        <v>225</v>
      </c>
      <c r="G238" s="4">
        <v>1</v>
      </c>
      <c r="H238" s="4" t="s">
        <v>226</v>
      </c>
      <c r="I238" s="4" t="s">
        <v>227</v>
      </c>
      <c r="J238" s="4" t="s">
        <v>135</v>
      </c>
      <c r="K238" s="4" t="s">
        <v>228</v>
      </c>
      <c r="L238" s="16" t="s">
        <v>229</v>
      </c>
    </row>
    <row r="239" spans="1:12" ht="15.75">
      <c r="A239" s="4" t="s">
        <v>222</v>
      </c>
      <c r="B239" s="4">
        <v>2023</v>
      </c>
      <c r="C239" s="4" t="s">
        <v>346</v>
      </c>
      <c r="D239" s="4" t="s">
        <v>224</v>
      </c>
      <c r="E239" s="4">
        <v>6716.74</v>
      </c>
      <c r="F239" s="4" t="s">
        <v>225</v>
      </c>
      <c r="G239" s="4">
        <v>1</v>
      </c>
      <c r="H239" s="4" t="s">
        <v>226</v>
      </c>
      <c r="I239" s="4" t="s">
        <v>227</v>
      </c>
      <c r="J239" s="4" t="s">
        <v>135</v>
      </c>
      <c r="K239" s="4" t="s">
        <v>228</v>
      </c>
      <c r="L239" s="16" t="s">
        <v>229</v>
      </c>
    </row>
    <row r="240" spans="1:12" ht="15.75">
      <c r="A240" s="4" t="s">
        <v>222</v>
      </c>
      <c r="B240" s="4">
        <v>2023</v>
      </c>
      <c r="C240" s="4" t="s">
        <v>347</v>
      </c>
      <c r="D240" s="4" t="s">
        <v>224</v>
      </c>
      <c r="E240" s="4">
        <v>6735.55</v>
      </c>
      <c r="F240" s="4" t="s">
        <v>225</v>
      </c>
      <c r="G240" s="4">
        <v>1</v>
      </c>
      <c r="H240" s="4" t="s">
        <v>226</v>
      </c>
      <c r="I240" s="4" t="s">
        <v>227</v>
      </c>
      <c r="J240" s="4" t="s">
        <v>135</v>
      </c>
      <c r="K240" s="4" t="s">
        <v>228</v>
      </c>
      <c r="L240" s="16" t="s">
        <v>229</v>
      </c>
    </row>
    <row r="241" spans="1:12" ht="15.75">
      <c r="A241" s="4" t="s">
        <v>222</v>
      </c>
      <c r="B241" s="4">
        <v>2023</v>
      </c>
      <c r="C241" s="4" t="s">
        <v>348</v>
      </c>
      <c r="D241" s="4" t="s">
        <v>224</v>
      </c>
      <c r="E241" s="4">
        <v>6773.27</v>
      </c>
      <c r="F241" s="4" t="s">
        <v>225</v>
      </c>
      <c r="G241" s="4">
        <v>1</v>
      </c>
      <c r="H241" s="4" t="s">
        <v>226</v>
      </c>
      <c r="I241" s="4" t="s">
        <v>227</v>
      </c>
      <c r="J241" s="4" t="s">
        <v>135</v>
      </c>
      <c r="K241" s="4" t="s">
        <v>228</v>
      </c>
      <c r="L241" s="16" t="s">
        <v>229</v>
      </c>
    </row>
    <row r="242" spans="1:12" ht="15.75">
      <c r="A242" s="4" t="s">
        <v>222</v>
      </c>
      <c r="B242" s="4">
        <v>2024</v>
      </c>
      <c r="C242" s="4" t="s">
        <v>349</v>
      </c>
      <c r="D242" s="4" t="s">
        <v>224</v>
      </c>
      <c r="E242" s="4">
        <v>6801.72</v>
      </c>
      <c r="F242" s="4" t="s">
        <v>225</v>
      </c>
      <c r="G242" s="4">
        <v>1</v>
      </c>
      <c r="H242" s="4" t="s">
        <v>226</v>
      </c>
      <c r="I242" s="4" t="s">
        <v>227</v>
      </c>
      <c r="J242" s="4" t="s">
        <v>135</v>
      </c>
      <c r="K242" s="4" t="s">
        <v>228</v>
      </c>
      <c r="L242" s="16" t="s">
        <v>229</v>
      </c>
    </row>
    <row r="243" spans="1:12" ht="15.75">
      <c r="A243" s="4" t="s">
        <v>222</v>
      </c>
      <c r="B243" s="4">
        <v>2024</v>
      </c>
      <c r="C243" s="4" t="s">
        <v>350</v>
      </c>
      <c r="D243" s="4" t="s">
        <v>224</v>
      </c>
      <c r="E243" s="4">
        <v>6858.17</v>
      </c>
      <c r="F243" s="4" t="s">
        <v>225</v>
      </c>
      <c r="G243" s="4">
        <v>1</v>
      </c>
      <c r="H243" s="4" t="s">
        <v>226</v>
      </c>
      <c r="I243" s="4" t="s">
        <v>227</v>
      </c>
      <c r="J243" s="4" t="s">
        <v>135</v>
      </c>
      <c r="K243" s="4" t="s">
        <v>228</v>
      </c>
      <c r="L243" s="16" t="s">
        <v>229</v>
      </c>
    </row>
    <row r="244" spans="1:12" ht="15.75">
      <c r="A244" s="4" t="s">
        <v>222</v>
      </c>
      <c r="B244" s="4">
        <v>2024</v>
      </c>
      <c r="C244" s="4" t="s">
        <v>351</v>
      </c>
      <c r="D244" s="4" t="s">
        <v>224</v>
      </c>
      <c r="E244" s="4">
        <v>6869.14</v>
      </c>
      <c r="F244" s="4" t="s">
        <v>225</v>
      </c>
      <c r="G244" s="4">
        <v>1</v>
      </c>
      <c r="H244" s="4" t="s">
        <v>226</v>
      </c>
      <c r="I244" s="4" t="s">
        <v>227</v>
      </c>
      <c r="J244" s="4" t="s">
        <v>135</v>
      </c>
      <c r="K244" s="4" t="s">
        <v>228</v>
      </c>
      <c r="L244" s="16" t="s">
        <v>229</v>
      </c>
    </row>
    <row r="245" spans="1:12" ht="15.75">
      <c r="A245" s="4" t="s">
        <v>222</v>
      </c>
      <c r="B245" s="4">
        <v>2024</v>
      </c>
      <c r="C245" s="4" t="s">
        <v>352</v>
      </c>
      <c r="D245" s="4" t="s">
        <v>224</v>
      </c>
      <c r="E245" s="4">
        <v>6895.24</v>
      </c>
      <c r="F245" s="4" t="s">
        <v>225</v>
      </c>
      <c r="G245" s="4">
        <v>1</v>
      </c>
      <c r="H245" s="4" t="s">
        <v>226</v>
      </c>
      <c r="I245" s="4" t="s">
        <v>227</v>
      </c>
      <c r="J245" s="4" t="s">
        <v>135</v>
      </c>
      <c r="K245" s="4" t="s">
        <v>228</v>
      </c>
      <c r="L245" s="16" t="s">
        <v>229</v>
      </c>
    </row>
    <row r="246" spans="1:12" ht="15.75">
      <c r="A246" s="4" t="s">
        <v>222</v>
      </c>
      <c r="B246" s="4">
        <v>2024</v>
      </c>
      <c r="C246" s="4" t="s">
        <v>353</v>
      </c>
      <c r="D246" s="4" t="s">
        <v>224</v>
      </c>
      <c r="E246" s="4">
        <v>6926.96</v>
      </c>
      <c r="F246" s="4" t="s">
        <v>225</v>
      </c>
      <c r="G246" s="4">
        <v>1</v>
      </c>
      <c r="H246" s="4" t="s">
        <v>226</v>
      </c>
      <c r="I246" s="4" t="s">
        <v>227</v>
      </c>
      <c r="J246" s="4" t="s">
        <v>135</v>
      </c>
      <c r="K246" s="4" t="s">
        <v>228</v>
      </c>
      <c r="L246" s="16" t="s">
        <v>229</v>
      </c>
    </row>
    <row r="247" spans="1:12" ht="15.75">
      <c r="A247" s="4" t="s">
        <v>222</v>
      </c>
      <c r="B247" s="4">
        <v>2024</v>
      </c>
      <c r="C247" s="4" t="s">
        <v>354</v>
      </c>
      <c r="D247" s="4" t="s">
        <v>224</v>
      </c>
      <c r="E247" s="4">
        <v>6941.51</v>
      </c>
      <c r="F247" s="4" t="s">
        <v>225</v>
      </c>
      <c r="G247" s="4">
        <v>1</v>
      </c>
      <c r="H247" s="4" t="s">
        <v>226</v>
      </c>
      <c r="I247" s="4" t="s">
        <v>227</v>
      </c>
      <c r="J247" s="4" t="s">
        <v>135</v>
      </c>
      <c r="K247" s="4" t="s">
        <v>228</v>
      </c>
      <c r="L247" s="16" t="s">
        <v>229</v>
      </c>
    </row>
    <row r="248" spans="1:12" ht="15.75">
      <c r="A248" s="4" t="s">
        <v>222</v>
      </c>
      <c r="B248" s="4">
        <v>2024</v>
      </c>
      <c r="C248" s="4" t="s">
        <v>355</v>
      </c>
      <c r="D248" s="4" t="s">
        <v>224</v>
      </c>
      <c r="E248" s="4">
        <v>6967.89</v>
      </c>
      <c r="F248" s="4" t="s">
        <v>225</v>
      </c>
      <c r="G248" s="4">
        <v>1</v>
      </c>
      <c r="H248" s="4" t="s">
        <v>226</v>
      </c>
      <c r="I248" s="4" t="s">
        <v>227</v>
      </c>
      <c r="J248" s="4" t="s">
        <v>135</v>
      </c>
      <c r="K248" s="4" t="s">
        <v>228</v>
      </c>
      <c r="L248" s="16" t="s">
        <v>229</v>
      </c>
    </row>
    <row r="249" spans="1:12" ht="15.75">
      <c r="A249" s="4" t="s">
        <v>222</v>
      </c>
      <c r="B249" s="4">
        <v>2024</v>
      </c>
      <c r="C249" s="4" t="s">
        <v>356</v>
      </c>
      <c r="D249" s="4" t="s">
        <v>224</v>
      </c>
      <c r="E249" s="4">
        <v>6966.5</v>
      </c>
      <c r="F249" s="4" t="s">
        <v>225</v>
      </c>
      <c r="G249" s="4">
        <v>1</v>
      </c>
      <c r="H249" s="4" t="s">
        <v>226</v>
      </c>
      <c r="I249" s="4" t="s">
        <v>227</v>
      </c>
      <c r="J249" s="4" t="s">
        <v>135</v>
      </c>
      <c r="K249" s="4" t="s">
        <v>228</v>
      </c>
      <c r="L249" s="16" t="s">
        <v>229</v>
      </c>
    </row>
    <row r="250" spans="1:12" ht="15.75">
      <c r="A250" s="4" t="s">
        <v>222</v>
      </c>
      <c r="B250" s="4">
        <v>2024</v>
      </c>
      <c r="C250" s="4" t="s">
        <v>357</v>
      </c>
      <c r="D250" s="4" t="s">
        <v>224</v>
      </c>
      <c r="E250" s="4">
        <v>6997.15</v>
      </c>
      <c r="F250" s="4" t="s">
        <v>225</v>
      </c>
      <c r="G250" s="4">
        <v>1</v>
      </c>
      <c r="H250" s="4" t="s">
        <v>226</v>
      </c>
      <c r="I250" s="4" t="s">
        <v>227</v>
      </c>
      <c r="J250" s="4" t="s">
        <v>135</v>
      </c>
      <c r="K250" s="4" t="s">
        <v>228</v>
      </c>
      <c r="L250" s="16" t="s">
        <v>229</v>
      </c>
    </row>
    <row r="251" spans="1:12" ht="15.75">
      <c r="A251" s="4" t="s">
        <v>222</v>
      </c>
      <c r="B251" s="4">
        <v>2024</v>
      </c>
      <c r="C251" s="4" t="s">
        <v>358</v>
      </c>
      <c r="D251" s="4" t="s">
        <v>224</v>
      </c>
      <c r="E251" s="4">
        <v>7036.33</v>
      </c>
      <c r="F251" s="4" t="s">
        <v>225</v>
      </c>
      <c r="G251" s="4">
        <v>1</v>
      </c>
      <c r="H251" s="4" t="s">
        <v>226</v>
      </c>
      <c r="I251" s="4" t="s">
        <v>227</v>
      </c>
      <c r="J251" s="4" t="s">
        <v>135</v>
      </c>
      <c r="K251" s="4" t="s">
        <v>228</v>
      </c>
      <c r="L251" s="16" t="s">
        <v>229</v>
      </c>
    </row>
    <row r="252" spans="1:12" ht="15.75">
      <c r="A252" s="4" t="s">
        <v>222</v>
      </c>
      <c r="B252" s="4">
        <v>2024</v>
      </c>
      <c r="C252" s="4" t="s">
        <v>359</v>
      </c>
      <c r="D252" s="4" t="s">
        <v>224</v>
      </c>
      <c r="E252" s="4">
        <v>7063.77</v>
      </c>
      <c r="F252" s="4" t="s">
        <v>225</v>
      </c>
      <c r="G252" s="4">
        <v>1</v>
      </c>
      <c r="H252" s="4" t="s">
        <v>226</v>
      </c>
      <c r="I252" s="4" t="s">
        <v>227</v>
      </c>
      <c r="J252" s="4" t="s">
        <v>135</v>
      </c>
      <c r="K252" s="4" t="s">
        <v>228</v>
      </c>
      <c r="L252" s="16" t="s">
        <v>229</v>
      </c>
    </row>
    <row r="253" spans="1:12" ht="15.75">
      <c r="A253" s="4" t="s">
        <v>222</v>
      </c>
      <c r="B253" s="4">
        <v>2024</v>
      </c>
      <c r="C253" s="4" t="s">
        <v>360</v>
      </c>
      <c r="D253" s="4" t="s">
        <v>224</v>
      </c>
      <c r="E253" s="4">
        <v>7100.5</v>
      </c>
      <c r="F253" s="4" t="s">
        <v>225</v>
      </c>
      <c r="G253" s="4">
        <v>1</v>
      </c>
      <c r="H253" s="4" t="s">
        <v>226</v>
      </c>
      <c r="I253" s="4" t="s">
        <v>227</v>
      </c>
      <c r="J253" s="4" t="s">
        <v>135</v>
      </c>
      <c r="K253" s="4" t="s">
        <v>228</v>
      </c>
      <c r="L253" s="16" t="s">
        <v>229</v>
      </c>
    </row>
    <row r="254" spans="1:12" ht="15.75">
      <c r="A254" s="4" t="s">
        <v>222</v>
      </c>
      <c r="B254" s="4">
        <v>2025</v>
      </c>
      <c r="C254" s="4" t="s">
        <v>361</v>
      </c>
      <c r="D254" s="4" t="s">
        <v>224</v>
      </c>
      <c r="E254" s="4">
        <v>7111.86</v>
      </c>
      <c r="F254" s="4" t="s">
        <v>225</v>
      </c>
      <c r="G254" s="4">
        <v>1</v>
      </c>
      <c r="H254" s="4" t="s">
        <v>226</v>
      </c>
      <c r="I254" s="4" t="s">
        <v>227</v>
      </c>
      <c r="J254" s="4" t="s">
        <v>135</v>
      </c>
      <c r="K254" s="4" t="s">
        <v>228</v>
      </c>
      <c r="L254" s="16" t="s">
        <v>229</v>
      </c>
    </row>
    <row r="255" spans="1:12" ht="15.75">
      <c r="A255" s="4" t="s">
        <v>222</v>
      </c>
      <c r="B255" s="4">
        <v>2025</v>
      </c>
      <c r="C255" s="4" t="s">
        <v>362</v>
      </c>
      <c r="D255" s="4" t="s">
        <v>224</v>
      </c>
      <c r="E255" s="4">
        <v>7205.03</v>
      </c>
      <c r="F255" s="4" t="s">
        <v>225</v>
      </c>
      <c r="G255" s="4">
        <v>1</v>
      </c>
      <c r="H255" s="4" t="s">
        <v>226</v>
      </c>
      <c r="I255" s="4" t="s">
        <v>227</v>
      </c>
      <c r="J255" s="4" t="s">
        <v>135</v>
      </c>
      <c r="K255" s="4" t="s">
        <v>228</v>
      </c>
      <c r="L255" s="16" t="s">
        <v>229</v>
      </c>
    </row>
    <row r="256" spans="1:12" ht="15.75">
      <c r="A256" s="4" t="s">
        <v>222</v>
      </c>
      <c r="B256" s="4">
        <v>2025</v>
      </c>
      <c r="C256" s="4" t="s">
        <v>363</v>
      </c>
      <c r="D256" s="4" t="s">
        <v>224</v>
      </c>
      <c r="E256" s="4">
        <v>7245.38</v>
      </c>
      <c r="F256" s="4" t="s">
        <v>225</v>
      </c>
      <c r="G256" s="4">
        <v>1</v>
      </c>
      <c r="H256" s="4" t="s">
        <v>226</v>
      </c>
      <c r="I256" s="4" t="s">
        <v>227</v>
      </c>
      <c r="J256" s="4" t="s">
        <v>135</v>
      </c>
      <c r="K256" s="4" t="s">
        <v>228</v>
      </c>
      <c r="L256" s="16" t="s">
        <v>229</v>
      </c>
    </row>
    <row r="257" spans="1:12" ht="15.75">
      <c r="A257" s="4" t="s">
        <v>222</v>
      </c>
      <c r="B257" s="4">
        <v>2025</v>
      </c>
      <c r="C257" s="4" t="s">
        <v>364</v>
      </c>
      <c r="D257" s="4" t="s">
        <v>224</v>
      </c>
      <c r="E257" s="4">
        <v>7276.54</v>
      </c>
      <c r="F257" s="4" t="s">
        <v>225</v>
      </c>
      <c r="G257" s="4">
        <v>1</v>
      </c>
      <c r="H257" s="4" t="s">
        <v>226</v>
      </c>
      <c r="I257" s="4" t="s">
        <v>227</v>
      </c>
      <c r="J257" s="4" t="s">
        <v>135</v>
      </c>
      <c r="K257" s="4" t="s">
        <v>228</v>
      </c>
      <c r="L257" s="16" t="s">
        <v>229</v>
      </c>
    </row>
    <row r="258" spans="1:12" ht="15.75">
      <c r="A258" s="4" t="s">
        <v>222</v>
      </c>
      <c r="B258" s="4">
        <v>2025</v>
      </c>
      <c r="C258" s="4" t="s">
        <v>365</v>
      </c>
      <c r="D258" s="4" t="s">
        <v>224</v>
      </c>
      <c r="E258" s="4">
        <v>7295.46</v>
      </c>
      <c r="F258" s="4" t="s">
        <v>225</v>
      </c>
      <c r="G258" s="4">
        <v>1</v>
      </c>
      <c r="H258" s="4" t="s">
        <v>226</v>
      </c>
      <c r="I258" s="4" t="s">
        <v>227</v>
      </c>
      <c r="J258" s="4" t="s">
        <v>135</v>
      </c>
      <c r="K258" s="4" t="s">
        <v>228</v>
      </c>
      <c r="L258" s="16" t="s">
        <v>229</v>
      </c>
    </row>
    <row r="259" spans="1:12" ht="15.75">
      <c r="A259" s="4" t="s">
        <v>222</v>
      </c>
      <c r="B259" s="4">
        <v>2025</v>
      </c>
      <c r="C259" s="4" t="s">
        <v>366</v>
      </c>
      <c r="D259" s="4" t="s">
        <v>224</v>
      </c>
      <c r="E259" s="4">
        <v>7312.97</v>
      </c>
      <c r="F259" s="4" t="s">
        <v>225</v>
      </c>
      <c r="G259" s="4">
        <v>1</v>
      </c>
      <c r="H259" s="4" t="s">
        <v>226</v>
      </c>
      <c r="I259" s="4" t="s">
        <v>227</v>
      </c>
      <c r="J259" s="4" t="s">
        <v>135</v>
      </c>
      <c r="K259" s="4" t="s">
        <v>228</v>
      </c>
      <c r="L259" s="16" t="s">
        <v>229</v>
      </c>
    </row>
    <row r="260" spans="1:12" ht="15.75">
      <c r="A260" s="4" t="s">
        <v>222</v>
      </c>
      <c r="B260" s="4">
        <v>2025</v>
      </c>
      <c r="C260" s="4" t="s">
        <v>367</v>
      </c>
      <c r="D260" s="4" t="s">
        <v>224</v>
      </c>
      <c r="E260" s="4">
        <v>7331.98</v>
      </c>
      <c r="F260" s="4" t="s">
        <v>225</v>
      </c>
      <c r="G260" s="4">
        <v>1</v>
      </c>
      <c r="H260" s="4" t="s">
        <v>226</v>
      </c>
      <c r="I260" s="4" t="s">
        <v>227</v>
      </c>
      <c r="J260" s="4" t="s">
        <v>135</v>
      </c>
      <c r="K260" s="4" t="s">
        <v>228</v>
      </c>
      <c r="L260" s="16" t="s">
        <v>229</v>
      </c>
    </row>
    <row r="261" spans="1:12" ht="15.75">
      <c r="A261" s="4" t="s">
        <v>222</v>
      </c>
      <c r="B261" s="4">
        <v>2025</v>
      </c>
      <c r="C261" s="4" t="s">
        <v>368</v>
      </c>
      <c r="D261" s="4" t="s">
        <v>224</v>
      </c>
      <c r="E261" s="4">
        <v>7323.91</v>
      </c>
      <c r="F261" s="4" t="s">
        <v>225</v>
      </c>
      <c r="G261" s="4">
        <v>1</v>
      </c>
      <c r="H261" s="4" t="s">
        <v>226</v>
      </c>
      <c r="I261" s="4" t="s">
        <v>227</v>
      </c>
      <c r="J261" s="4" t="s">
        <v>135</v>
      </c>
      <c r="K261" s="4" t="s">
        <v>228</v>
      </c>
      <c r="L261" s="16" t="s">
        <v>229</v>
      </c>
    </row>
    <row r="262" spans="1:12" ht="15.75">
      <c r="A262" s="4" t="s">
        <v>222</v>
      </c>
      <c r="B262" s="4">
        <v>2025</v>
      </c>
      <c r="C262" s="4" t="s">
        <v>369</v>
      </c>
      <c r="D262" s="4" t="s">
        <v>224</v>
      </c>
      <c r="E262" s="4">
        <v>7359.06</v>
      </c>
      <c r="F262" s="4" t="s">
        <v>225</v>
      </c>
      <c r="G262" s="4">
        <v>1</v>
      </c>
      <c r="H262" s="4" t="s">
        <v>226</v>
      </c>
      <c r="I262" s="4" t="s">
        <v>227</v>
      </c>
      <c r="J262" s="4" t="s">
        <v>135</v>
      </c>
      <c r="K262" s="4" t="s">
        <v>228</v>
      </c>
      <c r="L262" s="16" t="s">
        <v>229</v>
      </c>
    </row>
    <row r="263" spans="1:12" ht="15.75">
      <c r="A263" s="4" t="s">
        <v>222</v>
      </c>
      <c r="B263" s="4">
        <v>2025</v>
      </c>
      <c r="C263" s="4" t="s">
        <v>370</v>
      </c>
      <c r="D263" s="4" t="s">
        <v>224</v>
      </c>
      <c r="E263" s="4">
        <v>7365.68</v>
      </c>
      <c r="F263" s="4" t="s">
        <v>225</v>
      </c>
      <c r="G263" s="4">
        <v>1</v>
      </c>
      <c r="H263" s="4" t="s">
        <v>226</v>
      </c>
      <c r="I263" s="4" t="s">
        <v>227</v>
      </c>
      <c r="J263" s="4" t="s">
        <v>135</v>
      </c>
      <c r="K263" s="4" t="s">
        <v>228</v>
      </c>
      <c r="L263" s="16" t="s">
        <v>229</v>
      </c>
    </row>
    <row r="264" spans="1:12" ht="15.75">
      <c r="A264" s="4" t="s">
        <v>222</v>
      </c>
      <c r="B264" s="4">
        <v>2025</v>
      </c>
      <c r="C264" s="4" t="s">
        <v>371</v>
      </c>
      <c r="D264" s="4" t="s">
        <v>224</v>
      </c>
      <c r="E264" s="4">
        <v>7378.94</v>
      </c>
      <c r="F264" s="4" t="s">
        <v>225</v>
      </c>
      <c r="G264" s="4">
        <v>1</v>
      </c>
      <c r="H264" s="4" t="s">
        <v>226</v>
      </c>
      <c r="I264" s="4" t="s">
        <v>227</v>
      </c>
      <c r="J264" s="4" t="s">
        <v>135</v>
      </c>
      <c r="K264" s="4" t="s">
        <v>228</v>
      </c>
      <c r="L264" s="16" t="s">
        <v>229</v>
      </c>
    </row>
    <row r="265" spans="1:12" ht="15.75">
      <c r="A265" s="4" t="s">
        <v>222</v>
      </c>
      <c r="B265" s="4">
        <v>2025</v>
      </c>
      <c r="C265" s="4" t="s">
        <v>372</v>
      </c>
      <c r="D265" s="4" t="s">
        <v>224</v>
      </c>
      <c r="E265" s="4">
        <v>7403.29</v>
      </c>
      <c r="F265" s="4" t="s">
        <v>225</v>
      </c>
      <c r="G265" s="4">
        <v>1</v>
      </c>
      <c r="H265" s="4" t="s">
        <v>226</v>
      </c>
      <c r="I265" s="4" t="s">
        <v>227</v>
      </c>
      <c r="J265" s="4" t="s">
        <v>135</v>
      </c>
      <c r="K265" s="4" t="s">
        <v>228</v>
      </c>
      <c r="L265" s="16" t="s">
        <v>229</v>
      </c>
    </row>
    <row r="266" spans="1:12" ht="15.75">
      <c r="A266" s="4" t="s">
        <v>117</v>
      </c>
      <c r="B266" s="4">
        <v>2005</v>
      </c>
      <c r="C266" s="4" t="s">
        <v>373</v>
      </c>
      <c r="D266" s="4" t="s">
        <v>374</v>
      </c>
      <c r="E266" s="4">
        <v>4.1219999999999999</v>
      </c>
      <c r="F266" s="4" t="s">
        <v>375</v>
      </c>
      <c r="G266" s="4">
        <v>1</v>
      </c>
      <c r="H266" s="4" t="s">
        <v>376</v>
      </c>
      <c r="I266" s="4" t="s">
        <v>377</v>
      </c>
      <c r="J266" s="4" t="s">
        <v>378</v>
      </c>
      <c r="K266" s="4" t="s">
        <v>379</v>
      </c>
      <c r="L266" s="16" t="s">
        <v>380</v>
      </c>
    </row>
    <row r="267" spans="1:12" ht="15.75">
      <c r="A267" s="4" t="s">
        <v>117</v>
      </c>
      <c r="B267" s="4">
        <v>2005</v>
      </c>
      <c r="C267" s="4" t="s">
        <v>373</v>
      </c>
      <c r="D267" s="4" t="s">
        <v>381</v>
      </c>
      <c r="E267" s="4">
        <v>4.2191720000000004</v>
      </c>
      <c r="F267" s="4" t="s">
        <v>375</v>
      </c>
      <c r="G267" s="4">
        <v>1</v>
      </c>
      <c r="H267" s="4" t="s">
        <v>376</v>
      </c>
      <c r="I267" s="4" t="s">
        <v>377</v>
      </c>
      <c r="J267" s="4" t="s">
        <v>378</v>
      </c>
      <c r="K267" s="4" t="s">
        <v>379</v>
      </c>
      <c r="L267" s="16" t="s">
        <v>382</v>
      </c>
    </row>
    <row r="268" spans="1:12" ht="15.75">
      <c r="A268" s="4" t="s">
        <v>117</v>
      </c>
      <c r="B268" s="4">
        <v>2005</v>
      </c>
      <c r="C268" s="4" t="s">
        <v>373</v>
      </c>
      <c r="D268" s="4" t="s">
        <v>383</v>
      </c>
      <c r="E268" s="4">
        <v>0.61120699999999994</v>
      </c>
      <c r="F268" s="4" t="s">
        <v>384</v>
      </c>
      <c r="G268" s="4">
        <v>1</v>
      </c>
      <c r="H268" s="4" t="s">
        <v>385</v>
      </c>
      <c r="I268" s="4" t="s">
        <v>377</v>
      </c>
      <c r="J268" s="4" t="s">
        <v>378</v>
      </c>
      <c r="K268" s="4" t="s">
        <v>379</v>
      </c>
      <c r="L268" s="16" t="s">
        <v>380</v>
      </c>
    </row>
    <row r="269" spans="1:12" ht="15.75">
      <c r="A269" s="4" t="s">
        <v>117</v>
      </c>
      <c r="B269" s="4">
        <v>2005</v>
      </c>
      <c r="C269" s="4" t="s">
        <v>373</v>
      </c>
      <c r="D269" s="4" t="s">
        <v>386</v>
      </c>
      <c r="E269" s="4">
        <v>0.76417599999999997</v>
      </c>
      <c r="F269" s="4" t="s">
        <v>384</v>
      </c>
      <c r="G269" s="4">
        <v>1</v>
      </c>
      <c r="H269" s="4" t="s">
        <v>385</v>
      </c>
      <c r="I269" s="4" t="s">
        <v>377</v>
      </c>
      <c r="J269" s="4" t="s">
        <v>378</v>
      </c>
      <c r="K269" s="4" t="s">
        <v>379</v>
      </c>
      <c r="L269" s="16" t="s">
        <v>382</v>
      </c>
    </row>
    <row r="270" spans="1:12" ht="15.75">
      <c r="A270" s="4" t="s">
        <v>117</v>
      </c>
      <c r="B270" s="4">
        <v>2007</v>
      </c>
      <c r="C270" s="4" t="s">
        <v>387</v>
      </c>
      <c r="D270" s="4" t="s">
        <v>374</v>
      </c>
      <c r="E270" s="4">
        <v>4.1775000000000002</v>
      </c>
      <c r="F270" s="4" t="s">
        <v>375</v>
      </c>
      <c r="G270" s="4">
        <v>1</v>
      </c>
      <c r="H270" s="4" t="s">
        <v>388</v>
      </c>
      <c r="I270" s="4" t="s">
        <v>377</v>
      </c>
      <c r="J270" s="4" t="s">
        <v>378</v>
      </c>
      <c r="K270" s="4" t="s">
        <v>379</v>
      </c>
      <c r="L270" s="16" t="s">
        <v>380</v>
      </c>
    </row>
    <row r="271" spans="1:12" ht="15.75">
      <c r="A271" s="4" t="s">
        <v>117</v>
      </c>
      <c r="B271" s="4">
        <v>2007</v>
      </c>
      <c r="C271" s="4" t="s">
        <v>387</v>
      </c>
      <c r="D271" s="4" t="s">
        <v>381</v>
      </c>
      <c r="E271" s="4">
        <v>4.3879380000000001</v>
      </c>
      <c r="F271" s="4" t="s">
        <v>375</v>
      </c>
      <c r="G271" s="4">
        <v>1</v>
      </c>
      <c r="H271" s="4" t="s">
        <v>388</v>
      </c>
      <c r="I271" s="4" t="s">
        <v>377</v>
      </c>
      <c r="J271" s="4" t="s">
        <v>378</v>
      </c>
      <c r="K271" s="4" t="s">
        <v>379</v>
      </c>
      <c r="L271" s="16" t="s">
        <v>382</v>
      </c>
    </row>
    <row r="272" spans="1:12" ht="15.75">
      <c r="A272" s="4" t="s">
        <v>117</v>
      </c>
      <c r="B272" s="4">
        <v>2007</v>
      </c>
      <c r="C272" s="4" t="s">
        <v>387</v>
      </c>
      <c r="D272" s="4" t="s">
        <v>383</v>
      </c>
      <c r="E272" s="4">
        <v>0.63752200000000003</v>
      </c>
      <c r="F272" s="4" t="s">
        <v>384</v>
      </c>
      <c r="G272" s="4">
        <v>1</v>
      </c>
      <c r="H272" s="4" t="s">
        <v>389</v>
      </c>
      <c r="I272" s="4" t="s">
        <v>377</v>
      </c>
      <c r="J272" s="4" t="s">
        <v>378</v>
      </c>
      <c r="K272" s="4" t="s">
        <v>379</v>
      </c>
      <c r="L272" s="16" t="s">
        <v>380</v>
      </c>
    </row>
    <row r="273" spans="1:12" ht="15.75">
      <c r="A273" s="4" t="s">
        <v>117</v>
      </c>
      <c r="B273" s="4">
        <v>2007</v>
      </c>
      <c r="C273" s="4" t="s">
        <v>387</v>
      </c>
      <c r="D273" s="4" t="s">
        <v>386</v>
      </c>
      <c r="E273" s="4">
        <v>0.78368199999999999</v>
      </c>
      <c r="F273" s="4" t="s">
        <v>384</v>
      </c>
      <c r="G273" s="4">
        <v>1</v>
      </c>
      <c r="H273" s="4" t="s">
        <v>389</v>
      </c>
      <c r="I273" s="4" t="s">
        <v>377</v>
      </c>
      <c r="J273" s="4" t="s">
        <v>378</v>
      </c>
      <c r="K273" s="4" t="s">
        <v>379</v>
      </c>
      <c r="L273" s="16" t="s">
        <v>382</v>
      </c>
    </row>
    <row r="274" spans="1:12" ht="15.75">
      <c r="A274" s="4" t="s">
        <v>117</v>
      </c>
      <c r="B274" s="4">
        <v>2009</v>
      </c>
      <c r="C274" s="4" t="s">
        <v>390</v>
      </c>
      <c r="D274" s="4" t="s">
        <v>374</v>
      </c>
      <c r="E274" s="4">
        <v>4.4424999999999999</v>
      </c>
      <c r="F274" s="4" t="s">
        <v>375</v>
      </c>
      <c r="G274" s="4">
        <v>1</v>
      </c>
      <c r="H274" s="4" t="s">
        <v>391</v>
      </c>
      <c r="I274" s="4" t="s">
        <v>377</v>
      </c>
      <c r="J274" s="4" t="s">
        <v>378</v>
      </c>
      <c r="K274" s="4" t="s">
        <v>379</v>
      </c>
      <c r="L274" s="16" t="s">
        <v>380</v>
      </c>
    </row>
    <row r="275" spans="1:12" ht="15.75">
      <c r="A275" s="4" t="s">
        <v>117</v>
      </c>
      <c r="B275" s="4">
        <v>2009</v>
      </c>
      <c r="C275" s="4" t="s">
        <v>390</v>
      </c>
      <c r="D275" s="4" t="s">
        <v>381</v>
      </c>
      <c r="E275" s="4">
        <v>4.7157450000000001</v>
      </c>
      <c r="F275" s="4" t="s">
        <v>375</v>
      </c>
      <c r="G275" s="4">
        <v>1</v>
      </c>
      <c r="H275" s="4" t="s">
        <v>391</v>
      </c>
      <c r="I275" s="4" t="s">
        <v>377</v>
      </c>
      <c r="J275" s="4" t="s">
        <v>378</v>
      </c>
      <c r="K275" s="4" t="s">
        <v>379</v>
      </c>
      <c r="L275" s="16" t="s">
        <v>382</v>
      </c>
    </row>
    <row r="276" spans="1:12" ht="15.75">
      <c r="A276" s="4" t="s">
        <v>117</v>
      </c>
      <c r="B276" s="4">
        <v>2009</v>
      </c>
      <c r="C276" s="4" t="s">
        <v>390</v>
      </c>
      <c r="D276" s="4" t="s">
        <v>383</v>
      </c>
      <c r="E276" s="4">
        <v>0.73947600000000002</v>
      </c>
      <c r="F276" s="4" t="s">
        <v>384</v>
      </c>
      <c r="G276" s="4">
        <v>1</v>
      </c>
      <c r="H276" s="4" t="s">
        <v>392</v>
      </c>
      <c r="I276" s="4" t="s">
        <v>377</v>
      </c>
      <c r="J276" s="4" t="s">
        <v>378</v>
      </c>
      <c r="K276" s="4" t="s">
        <v>379</v>
      </c>
      <c r="L276" s="16" t="s">
        <v>380</v>
      </c>
    </row>
    <row r="277" spans="1:12" ht="15.75">
      <c r="A277" s="4" t="s">
        <v>117</v>
      </c>
      <c r="B277" s="4">
        <v>2009</v>
      </c>
      <c r="C277" s="4" t="s">
        <v>390</v>
      </c>
      <c r="D277" s="4" t="s">
        <v>386</v>
      </c>
      <c r="E277" s="4">
        <v>0.81912700000000005</v>
      </c>
      <c r="F277" s="4" t="s">
        <v>384</v>
      </c>
      <c r="G277" s="4">
        <v>1</v>
      </c>
      <c r="H277" s="4" t="s">
        <v>392</v>
      </c>
      <c r="I277" s="4" t="s">
        <v>377</v>
      </c>
      <c r="J277" s="4" t="s">
        <v>378</v>
      </c>
      <c r="K277" s="4" t="s">
        <v>379</v>
      </c>
      <c r="L277" s="16" t="s">
        <v>382</v>
      </c>
    </row>
    <row r="278" spans="1:12" ht="36">
      <c r="A278" s="4" t="s">
        <v>117</v>
      </c>
      <c r="B278" s="4">
        <v>2010</v>
      </c>
      <c r="C278" s="4" t="s">
        <v>393</v>
      </c>
      <c r="D278" s="4" t="s">
        <v>394</v>
      </c>
      <c r="E278" s="4">
        <v>37001830.765000001</v>
      </c>
      <c r="F278" s="4" t="s">
        <v>395</v>
      </c>
      <c r="G278" s="4">
        <v>1000</v>
      </c>
      <c r="H278" s="4" t="s">
        <v>396</v>
      </c>
      <c r="I278" s="4" t="s">
        <v>397</v>
      </c>
      <c r="J278" s="4" t="s">
        <v>135</v>
      </c>
      <c r="K278" s="4" t="s">
        <v>398</v>
      </c>
      <c r="L278" s="16" t="s">
        <v>399</v>
      </c>
    </row>
    <row r="279" spans="1:12" ht="36">
      <c r="A279" s="4" t="s">
        <v>117</v>
      </c>
      <c r="B279" s="4">
        <v>2010</v>
      </c>
      <c r="C279" s="4" t="s">
        <v>393</v>
      </c>
      <c r="D279" s="4" t="s">
        <v>400</v>
      </c>
      <c r="E279" s="4">
        <v>15118.78</v>
      </c>
      <c r="F279" s="4" t="s">
        <v>401</v>
      </c>
      <c r="G279" s="4">
        <v>1</v>
      </c>
      <c r="H279" s="4" t="s">
        <v>402</v>
      </c>
      <c r="I279" s="4" t="s">
        <v>403</v>
      </c>
      <c r="J279" s="4" t="s">
        <v>135</v>
      </c>
      <c r="K279" s="4" t="s">
        <v>404</v>
      </c>
      <c r="L279" s="16" t="s">
        <v>399</v>
      </c>
    </row>
    <row r="280" spans="1:12" ht="15.75">
      <c r="A280" s="4" t="s">
        <v>117</v>
      </c>
      <c r="B280" s="4">
        <v>2011</v>
      </c>
      <c r="C280" s="4" t="s">
        <v>405</v>
      </c>
      <c r="D280" s="4" t="s">
        <v>374</v>
      </c>
      <c r="E280" s="4">
        <v>4.6494999999999997</v>
      </c>
      <c r="F280" s="4" t="s">
        <v>375</v>
      </c>
      <c r="G280" s="4">
        <v>1</v>
      </c>
      <c r="H280" s="4" t="s">
        <v>406</v>
      </c>
      <c r="I280" s="4" t="s">
        <v>377</v>
      </c>
      <c r="J280" s="4" t="s">
        <v>378</v>
      </c>
      <c r="K280" s="4" t="s">
        <v>379</v>
      </c>
      <c r="L280" s="16" t="s">
        <v>380</v>
      </c>
    </row>
    <row r="281" spans="1:12" ht="15.75">
      <c r="A281" s="4" t="s">
        <v>117</v>
      </c>
      <c r="B281" s="4">
        <v>2011</v>
      </c>
      <c r="C281" s="4" t="s">
        <v>405</v>
      </c>
      <c r="D281" s="4" t="s">
        <v>381</v>
      </c>
      <c r="E281" s="4">
        <v>5.0149629999999998</v>
      </c>
      <c r="F281" s="4" t="s">
        <v>375</v>
      </c>
      <c r="G281" s="4">
        <v>1</v>
      </c>
      <c r="H281" s="4" t="s">
        <v>406</v>
      </c>
      <c r="I281" s="4" t="s">
        <v>377</v>
      </c>
      <c r="J281" s="4" t="s">
        <v>378</v>
      </c>
      <c r="K281" s="4" t="s">
        <v>379</v>
      </c>
      <c r="L281" s="16" t="s">
        <v>382</v>
      </c>
    </row>
    <row r="282" spans="1:12" ht="15.75">
      <c r="A282" s="4" t="s">
        <v>117</v>
      </c>
      <c r="B282" s="4">
        <v>2011</v>
      </c>
      <c r="C282" s="4" t="s">
        <v>405</v>
      </c>
      <c r="D282" s="4" t="s">
        <v>383</v>
      </c>
      <c r="E282" s="4">
        <v>0.75220500000000001</v>
      </c>
      <c r="F282" s="4" t="s">
        <v>384</v>
      </c>
      <c r="G282" s="4">
        <v>1</v>
      </c>
      <c r="H282" s="4" t="s">
        <v>407</v>
      </c>
      <c r="I282" s="4" t="s">
        <v>377</v>
      </c>
      <c r="J282" s="4" t="s">
        <v>378</v>
      </c>
      <c r="K282" s="4" t="s">
        <v>379</v>
      </c>
      <c r="L282" s="16" t="s">
        <v>380</v>
      </c>
    </row>
    <row r="283" spans="1:12" ht="15.75">
      <c r="A283" s="4" t="s">
        <v>117</v>
      </c>
      <c r="B283" s="4">
        <v>2011</v>
      </c>
      <c r="C283" s="4" t="s">
        <v>405</v>
      </c>
      <c r="D283" s="4" t="s">
        <v>386</v>
      </c>
      <c r="E283" s="4">
        <v>0.84144099999999999</v>
      </c>
      <c r="F283" s="4" t="s">
        <v>384</v>
      </c>
      <c r="G283" s="4">
        <v>1</v>
      </c>
      <c r="H283" s="4" t="s">
        <v>407</v>
      </c>
      <c r="I283" s="4" t="s">
        <v>377</v>
      </c>
      <c r="J283" s="4" t="s">
        <v>378</v>
      </c>
      <c r="K283" s="4" t="s">
        <v>379</v>
      </c>
      <c r="L283" s="16" t="s">
        <v>382</v>
      </c>
    </row>
    <row r="284" spans="1:12" ht="36">
      <c r="A284" s="4" t="s">
        <v>117</v>
      </c>
      <c r="B284" s="4">
        <v>2011</v>
      </c>
      <c r="C284" s="4" t="s">
        <v>405</v>
      </c>
      <c r="D284" s="4" t="s">
        <v>394</v>
      </c>
      <c r="E284" s="4">
        <v>41394560.649999999</v>
      </c>
      <c r="F284" s="4" t="s">
        <v>395</v>
      </c>
      <c r="G284" s="4">
        <v>1000</v>
      </c>
      <c r="H284" s="4" t="s">
        <v>396</v>
      </c>
      <c r="I284" s="4" t="s">
        <v>397</v>
      </c>
      <c r="J284" s="4" t="s">
        <v>135</v>
      </c>
      <c r="K284" s="4" t="s">
        <v>398</v>
      </c>
      <c r="L284" s="16" t="s">
        <v>399</v>
      </c>
    </row>
    <row r="285" spans="1:12" ht="36">
      <c r="A285" s="4" t="s">
        <v>117</v>
      </c>
      <c r="B285" s="4">
        <v>2011</v>
      </c>
      <c r="C285" s="4" t="s">
        <v>405</v>
      </c>
      <c r="D285" s="4" t="s">
        <v>400</v>
      </c>
      <c r="E285" s="4">
        <v>16714.34</v>
      </c>
      <c r="F285" s="4" t="s">
        <v>401</v>
      </c>
      <c r="G285" s="4">
        <v>1</v>
      </c>
      <c r="H285" s="4" t="s">
        <v>402</v>
      </c>
      <c r="I285" s="4" t="s">
        <v>403</v>
      </c>
      <c r="J285" s="4" t="s">
        <v>135</v>
      </c>
      <c r="K285" s="4" t="s">
        <v>404</v>
      </c>
      <c r="L285" s="16" t="s">
        <v>399</v>
      </c>
    </row>
    <row r="286" spans="1:12" ht="36">
      <c r="A286" s="4" t="s">
        <v>117</v>
      </c>
      <c r="B286" s="4">
        <v>2012</v>
      </c>
      <c r="C286" s="4" t="s">
        <v>408</v>
      </c>
      <c r="D286" s="4" t="s">
        <v>394</v>
      </c>
      <c r="E286" s="4">
        <v>45775428.961999997</v>
      </c>
      <c r="F286" s="4" t="s">
        <v>395</v>
      </c>
      <c r="G286" s="4">
        <v>1000</v>
      </c>
      <c r="H286" s="4" t="s">
        <v>396</v>
      </c>
      <c r="I286" s="4" t="s">
        <v>397</v>
      </c>
      <c r="J286" s="4" t="s">
        <v>135</v>
      </c>
      <c r="K286" s="4" t="s">
        <v>398</v>
      </c>
      <c r="L286" s="16" t="s">
        <v>399</v>
      </c>
    </row>
    <row r="287" spans="1:12" ht="36">
      <c r="A287" s="4" t="s">
        <v>117</v>
      </c>
      <c r="B287" s="4">
        <v>2012</v>
      </c>
      <c r="C287" s="4" t="s">
        <v>408</v>
      </c>
      <c r="D287" s="4" t="s">
        <v>400</v>
      </c>
      <c r="E287" s="4">
        <v>18308.75</v>
      </c>
      <c r="F287" s="4" t="s">
        <v>401</v>
      </c>
      <c r="G287" s="4">
        <v>1</v>
      </c>
      <c r="H287" s="4" t="s">
        <v>402</v>
      </c>
      <c r="I287" s="4" t="s">
        <v>403</v>
      </c>
      <c r="J287" s="4" t="s">
        <v>135</v>
      </c>
      <c r="K287" s="4" t="s">
        <v>404</v>
      </c>
      <c r="L287" s="16" t="s">
        <v>399</v>
      </c>
    </row>
    <row r="288" spans="1:12" ht="15.75">
      <c r="A288" s="4" t="s">
        <v>117</v>
      </c>
      <c r="B288" s="4">
        <v>2013</v>
      </c>
      <c r="C288" s="4" t="s">
        <v>409</v>
      </c>
      <c r="D288" s="4" t="s">
        <v>374</v>
      </c>
      <c r="E288" s="4">
        <v>4.7688329999999999</v>
      </c>
      <c r="F288" s="4" t="s">
        <v>375</v>
      </c>
      <c r="G288" s="4">
        <v>1</v>
      </c>
      <c r="H288" s="4" t="s">
        <v>410</v>
      </c>
      <c r="I288" s="4" t="s">
        <v>377</v>
      </c>
      <c r="J288" s="4" t="s">
        <v>378</v>
      </c>
      <c r="K288" s="4" t="s">
        <v>379</v>
      </c>
      <c r="L288" s="16" t="s">
        <v>380</v>
      </c>
    </row>
    <row r="289" spans="1:12" ht="15.75">
      <c r="A289" s="4" t="s">
        <v>117</v>
      </c>
      <c r="B289" s="4">
        <v>2013</v>
      </c>
      <c r="C289" s="4" t="s">
        <v>409</v>
      </c>
      <c r="D289" s="4" t="s">
        <v>381</v>
      </c>
      <c r="E289" s="4">
        <v>5.0492900000000001</v>
      </c>
      <c r="F289" s="4" t="s">
        <v>375</v>
      </c>
      <c r="G289" s="4">
        <v>1</v>
      </c>
      <c r="H289" s="4" t="s">
        <v>410</v>
      </c>
      <c r="I289" s="4" t="s">
        <v>377</v>
      </c>
      <c r="J289" s="4" t="s">
        <v>378</v>
      </c>
      <c r="K289" s="4" t="s">
        <v>379</v>
      </c>
      <c r="L289" s="16" t="s">
        <v>382</v>
      </c>
    </row>
    <row r="290" spans="1:12" ht="15.75">
      <c r="A290" s="4" t="s">
        <v>117</v>
      </c>
      <c r="B290" s="4">
        <v>2013</v>
      </c>
      <c r="C290" s="4" t="s">
        <v>409</v>
      </c>
      <c r="D290" s="4" t="s">
        <v>383</v>
      </c>
      <c r="E290" s="4">
        <v>0.797956</v>
      </c>
      <c r="F290" s="4" t="s">
        <v>384</v>
      </c>
      <c r="G290" s="4">
        <v>1</v>
      </c>
      <c r="H290" s="4" t="s">
        <v>411</v>
      </c>
      <c r="I290" s="4" t="s">
        <v>377</v>
      </c>
      <c r="J290" s="4" t="s">
        <v>378</v>
      </c>
      <c r="K290" s="4" t="s">
        <v>379</v>
      </c>
      <c r="L290" s="16" t="s">
        <v>380</v>
      </c>
    </row>
    <row r="291" spans="1:12" ht="15.75">
      <c r="A291" s="4" t="s">
        <v>117</v>
      </c>
      <c r="B291" s="4">
        <v>2013</v>
      </c>
      <c r="C291" s="4" t="s">
        <v>409</v>
      </c>
      <c r="D291" s="4" t="s">
        <v>386</v>
      </c>
      <c r="E291" s="4">
        <v>0.91879299999999997</v>
      </c>
      <c r="F291" s="4" t="s">
        <v>384</v>
      </c>
      <c r="G291" s="4">
        <v>1</v>
      </c>
      <c r="H291" s="4" t="s">
        <v>411</v>
      </c>
      <c r="I291" s="4" t="s">
        <v>377</v>
      </c>
      <c r="J291" s="4" t="s">
        <v>378</v>
      </c>
      <c r="K291" s="4" t="s">
        <v>379</v>
      </c>
      <c r="L291" s="16" t="s">
        <v>382</v>
      </c>
    </row>
    <row r="292" spans="1:12" ht="36">
      <c r="A292" s="4" t="s">
        <v>117</v>
      </c>
      <c r="B292" s="4">
        <v>2013</v>
      </c>
      <c r="C292" s="4" t="s">
        <v>409</v>
      </c>
      <c r="D292" s="4" t="s">
        <v>394</v>
      </c>
      <c r="E292" s="4">
        <v>49758762.854000002</v>
      </c>
      <c r="F292" s="4" t="s">
        <v>395</v>
      </c>
      <c r="G292" s="4">
        <v>1000</v>
      </c>
      <c r="H292" s="4" t="s">
        <v>396</v>
      </c>
      <c r="I292" s="4" t="s">
        <v>397</v>
      </c>
      <c r="J292" s="4" t="s">
        <v>135</v>
      </c>
      <c r="K292" s="4" t="s">
        <v>398</v>
      </c>
      <c r="L292" s="16" t="s">
        <v>399</v>
      </c>
    </row>
    <row r="293" spans="1:12" ht="36">
      <c r="A293" s="4" t="s">
        <v>117</v>
      </c>
      <c r="B293" s="4">
        <v>2013</v>
      </c>
      <c r="C293" s="4" t="s">
        <v>409</v>
      </c>
      <c r="D293" s="4" t="s">
        <v>400</v>
      </c>
      <c r="E293" s="4">
        <v>19499.43</v>
      </c>
      <c r="F293" s="4" t="s">
        <v>401</v>
      </c>
      <c r="G293" s="4">
        <v>1</v>
      </c>
      <c r="H293" s="4" t="s">
        <v>402</v>
      </c>
      <c r="I293" s="4" t="s">
        <v>403</v>
      </c>
      <c r="J293" s="4" t="s">
        <v>135</v>
      </c>
      <c r="K293" s="4" t="s">
        <v>404</v>
      </c>
      <c r="L293" s="16" t="s">
        <v>399</v>
      </c>
    </row>
    <row r="294" spans="1:12" ht="36">
      <c r="A294" s="4" t="s">
        <v>117</v>
      </c>
      <c r="B294" s="4">
        <v>2014</v>
      </c>
      <c r="C294" s="4" t="s">
        <v>412</v>
      </c>
      <c r="D294" s="4" t="s">
        <v>394</v>
      </c>
      <c r="E294" s="4">
        <v>56116643.785999998</v>
      </c>
      <c r="F294" s="4" t="s">
        <v>395</v>
      </c>
      <c r="G294" s="4">
        <v>1000</v>
      </c>
      <c r="H294" s="4" t="s">
        <v>396</v>
      </c>
      <c r="I294" s="4" t="s">
        <v>397</v>
      </c>
      <c r="J294" s="4" t="s">
        <v>135</v>
      </c>
      <c r="K294" s="4" t="s">
        <v>398</v>
      </c>
      <c r="L294" s="16" t="s">
        <v>399</v>
      </c>
    </row>
    <row r="295" spans="1:12" ht="36">
      <c r="A295" s="4" t="s">
        <v>117</v>
      </c>
      <c r="B295" s="4">
        <v>2014</v>
      </c>
      <c r="C295" s="4" t="s">
        <v>412</v>
      </c>
      <c r="D295" s="4" t="s">
        <v>400</v>
      </c>
      <c r="E295" s="4">
        <v>21819.17</v>
      </c>
      <c r="F295" s="4" t="s">
        <v>401</v>
      </c>
      <c r="G295" s="4">
        <v>1</v>
      </c>
      <c r="H295" s="4" t="s">
        <v>402</v>
      </c>
      <c r="I295" s="4" t="s">
        <v>403</v>
      </c>
      <c r="J295" s="4" t="s">
        <v>135</v>
      </c>
      <c r="K295" s="4" t="s">
        <v>404</v>
      </c>
      <c r="L295" s="16" t="s">
        <v>399</v>
      </c>
    </row>
    <row r="296" spans="1:12" ht="15.75">
      <c r="A296" s="4" t="s">
        <v>117</v>
      </c>
      <c r="B296" s="4">
        <v>2015</v>
      </c>
      <c r="C296" s="4" t="s">
        <v>413</v>
      </c>
      <c r="D296" s="4" t="s">
        <v>374</v>
      </c>
      <c r="E296" s="4">
        <v>5.1741669999999997</v>
      </c>
      <c r="F296" s="4" t="s">
        <v>375</v>
      </c>
      <c r="G296" s="4">
        <v>1</v>
      </c>
      <c r="H296" s="4" t="s">
        <v>414</v>
      </c>
      <c r="I296" s="4" t="s">
        <v>377</v>
      </c>
      <c r="J296" s="4" t="s">
        <v>378</v>
      </c>
      <c r="K296" s="4" t="s">
        <v>379</v>
      </c>
      <c r="L296" s="16" t="s">
        <v>380</v>
      </c>
    </row>
    <row r="297" spans="1:12" ht="15.75">
      <c r="A297" s="4" t="s">
        <v>117</v>
      </c>
      <c r="B297" s="4">
        <v>2015</v>
      </c>
      <c r="C297" s="4" t="s">
        <v>413</v>
      </c>
      <c r="D297" s="4" t="s">
        <v>381</v>
      </c>
      <c r="E297" s="4">
        <v>5.7749360000000003</v>
      </c>
      <c r="F297" s="4" t="s">
        <v>375</v>
      </c>
      <c r="G297" s="4">
        <v>1</v>
      </c>
      <c r="H297" s="4" t="s">
        <v>414</v>
      </c>
      <c r="I297" s="4" t="s">
        <v>377</v>
      </c>
      <c r="J297" s="4" t="s">
        <v>378</v>
      </c>
      <c r="K297" s="4" t="s">
        <v>379</v>
      </c>
      <c r="L297" s="16" t="s">
        <v>382</v>
      </c>
    </row>
    <row r="298" spans="1:12" ht="15.75">
      <c r="A298" s="4" t="s">
        <v>117</v>
      </c>
      <c r="B298" s="4">
        <v>2015</v>
      </c>
      <c r="C298" s="4" t="s">
        <v>413</v>
      </c>
      <c r="D298" s="4" t="s">
        <v>383</v>
      </c>
      <c r="E298" s="4">
        <v>0.84436299999999997</v>
      </c>
      <c r="F298" s="4" t="s">
        <v>384</v>
      </c>
      <c r="G298" s="4">
        <v>1</v>
      </c>
      <c r="H298" s="4" t="s">
        <v>415</v>
      </c>
      <c r="I298" s="4" t="s">
        <v>377</v>
      </c>
      <c r="J298" s="4" t="s">
        <v>378</v>
      </c>
      <c r="K298" s="4" t="s">
        <v>379</v>
      </c>
      <c r="L298" s="16" t="s">
        <v>380</v>
      </c>
    </row>
    <row r="299" spans="1:12" ht="15.75">
      <c r="A299" s="4" t="s">
        <v>117</v>
      </c>
      <c r="B299" s="4">
        <v>2015</v>
      </c>
      <c r="C299" s="4" t="s">
        <v>413</v>
      </c>
      <c r="D299" s="4" t="s">
        <v>386</v>
      </c>
      <c r="E299" s="4">
        <v>0.930844</v>
      </c>
      <c r="F299" s="4" t="s">
        <v>384</v>
      </c>
      <c r="G299" s="4">
        <v>1</v>
      </c>
      <c r="H299" s="4" t="s">
        <v>415</v>
      </c>
      <c r="I299" s="4" t="s">
        <v>377</v>
      </c>
      <c r="J299" s="4" t="s">
        <v>378</v>
      </c>
      <c r="K299" s="4" t="s">
        <v>379</v>
      </c>
      <c r="L299" s="16" t="s">
        <v>382</v>
      </c>
    </row>
    <row r="300" spans="1:12" ht="36">
      <c r="A300" s="4" t="s">
        <v>117</v>
      </c>
      <c r="B300" s="4">
        <v>2015</v>
      </c>
      <c r="C300" s="4" t="s">
        <v>413</v>
      </c>
      <c r="D300" s="4" t="s">
        <v>394</v>
      </c>
      <c r="E300" s="4">
        <v>57211199.795999996</v>
      </c>
      <c r="F300" s="4" t="s">
        <v>395</v>
      </c>
      <c r="G300" s="4">
        <v>1000</v>
      </c>
      <c r="H300" s="4" t="s">
        <v>396</v>
      </c>
      <c r="I300" s="4" t="s">
        <v>397</v>
      </c>
      <c r="J300" s="4" t="s">
        <v>135</v>
      </c>
      <c r="K300" s="4" t="s">
        <v>398</v>
      </c>
      <c r="L300" s="16" t="s">
        <v>399</v>
      </c>
    </row>
    <row r="301" spans="1:12" ht="36">
      <c r="A301" s="4" t="s">
        <v>117</v>
      </c>
      <c r="B301" s="4">
        <v>2015</v>
      </c>
      <c r="C301" s="4" t="s">
        <v>413</v>
      </c>
      <c r="D301" s="4" t="s">
        <v>400</v>
      </c>
      <c r="E301" s="4">
        <v>22079.14</v>
      </c>
      <c r="F301" s="4" t="s">
        <v>401</v>
      </c>
      <c r="G301" s="4">
        <v>1</v>
      </c>
      <c r="H301" s="4" t="s">
        <v>402</v>
      </c>
      <c r="I301" s="4" t="s">
        <v>403</v>
      </c>
      <c r="J301" s="4" t="s">
        <v>135</v>
      </c>
      <c r="K301" s="4" t="s">
        <v>404</v>
      </c>
      <c r="L301" s="16" t="s">
        <v>399</v>
      </c>
    </row>
    <row r="302" spans="1:12" ht="24">
      <c r="A302" s="4" t="s">
        <v>117</v>
      </c>
      <c r="B302" s="4">
        <v>2016</v>
      </c>
      <c r="C302" s="4" t="s">
        <v>130</v>
      </c>
      <c r="D302" s="4" t="s">
        <v>416</v>
      </c>
      <c r="E302" s="4">
        <v>1448218893.77</v>
      </c>
      <c r="F302" s="4" t="s">
        <v>417</v>
      </c>
      <c r="G302" s="4">
        <v>1</v>
      </c>
      <c r="H302" s="4" t="s">
        <v>418</v>
      </c>
      <c r="I302" s="4" t="s">
        <v>419</v>
      </c>
      <c r="J302" s="4" t="s">
        <v>135</v>
      </c>
      <c r="K302" s="4" t="s">
        <v>420</v>
      </c>
      <c r="L302" s="16" t="s">
        <v>421</v>
      </c>
    </row>
    <row r="303" spans="1:12" ht="24">
      <c r="A303" s="4" t="s">
        <v>117</v>
      </c>
      <c r="B303" s="4">
        <v>2016</v>
      </c>
      <c r="C303" s="4" t="s">
        <v>130</v>
      </c>
      <c r="D303" s="4" t="s">
        <v>422</v>
      </c>
      <c r="E303" s="4">
        <v>46.86</v>
      </c>
      <c r="F303" s="4" t="s">
        <v>423</v>
      </c>
      <c r="G303" s="4">
        <v>1</v>
      </c>
      <c r="H303" s="4" t="s">
        <v>424</v>
      </c>
      <c r="I303" s="4" t="s">
        <v>425</v>
      </c>
      <c r="J303" s="4" t="s">
        <v>135</v>
      </c>
      <c r="K303" s="4" t="s">
        <v>426</v>
      </c>
      <c r="L303" s="16" t="s">
        <v>427</v>
      </c>
    </row>
    <row r="304" spans="1:12" ht="24">
      <c r="A304" s="4" t="s">
        <v>117</v>
      </c>
      <c r="B304" s="4">
        <v>2016</v>
      </c>
      <c r="C304" s="4" t="s">
        <v>130</v>
      </c>
      <c r="D304" s="4" t="s">
        <v>428</v>
      </c>
      <c r="E304" s="4">
        <v>373088912.13</v>
      </c>
      <c r="F304" s="4" t="s">
        <v>417</v>
      </c>
      <c r="G304" s="4">
        <v>1</v>
      </c>
      <c r="H304" s="4" t="s">
        <v>429</v>
      </c>
      <c r="I304" s="4" t="s">
        <v>430</v>
      </c>
      <c r="J304" s="4" t="s">
        <v>431</v>
      </c>
      <c r="K304" s="4" t="s">
        <v>432</v>
      </c>
      <c r="L304" s="16" t="s">
        <v>421</v>
      </c>
    </row>
    <row r="305" spans="1:12" ht="15.75">
      <c r="A305" s="4" t="s">
        <v>117</v>
      </c>
      <c r="B305" s="4">
        <v>2016</v>
      </c>
      <c r="C305" s="4" t="s">
        <v>130</v>
      </c>
      <c r="D305" s="4" t="s">
        <v>433</v>
      </c>
      <c r="E305" s="4">
        <v>6045848856.9899998</v>
      </c>
      <c r="F305" s="4" t="s">
        <v>417</v>
      </c>
      <c r="G305" s="4">
        <v>1</v>
      </c>
      <c r="H305" s="4" t="s">
        <v>434</v>
      </c>
      <c r="I305" s="4" t="s">
        <v>435</v>
      </c>
      <c r="J305" s="4" t="s">
        <v>135</v>
      </c>
      <c r="K305" s="4" t="s">
        <v>436</v>
      </c>
      <c r="L305" s="16" t="s">
        <v>437</v>
      </c>
    </row>
    <row r="306" spans="1:12" ht="15.75">
      <c r="A306" s="4" t="s">
        <v>117</v>
      </c>
      <c r="B306" s="4">
        <v>2016</v>
      </c>
      <c r="C306" s="4" t="s">
        <v>130</v>
      </c>
      <c r="D306" s="4" t="s">
        <v>438</v>
      </c>
      <c r="E306" s="4">
        <v>5960443868.6300001</v>
      </c>
      <c r="F306" s="4" t="s">
        <v>417</v>
      </c>
      <c r="G306" s="4">
        <v>1</v>
      </c>
      <c r="H306" s="4" t="s">
        <v>439</v>
      </c>
      <c r="I306" s="4" t="s">
        <v>435</v>
      </c>
      <c r="J306" s="4" t="s">
        <v>135</v>
      </c>
      <c r="K306" s="4" t="s">
        <v>436</v>
      </c>
      <c r="L306" s="16" t="s">
        <v>437</v>
      </c>
    </row>
    <row r="307" spans="1:12" ht="15.75">
      <c r="A307" s="4" t="s">
        <v>117</v>
      </c>
      <c r="B307" s="4">
        <v>2016</v>
      </c>
      <c r="C307" s="4" t="s">
        <v>130</v>
      </c>
      <c r="D307" s="4" t="s">
        <v>440</v>
      </c>
      <c r="E307" s="4">
        <v>5925165726.4799995</v>
      </c>
      <c r="F307" s="4" t="s">
        <v>417</v>
      </c>
      <c r="G307" s="4">
        <v>1</v>
      </c>
      <c r="H307" s="4" t="s">
        <v>441</v>
      </c>
      <c r="I307" s="4" t="s">
        <v>435</v>
      </c>
      <c r="J307" s="4" t="s">
        <v>135</v>
      </c>
      <c r="K307" s="4" t="s">
        <v>436</v>
      </c>
      <c r="L307" s="16" t="s">
        <v>437</v>
      </c>
    </row>
    <row r="308" spans="1:12" ht="24">
      <c r="A308" s="4" t="s">
        <v>117</v>
      </c>
      <c r="B308" s="4">
        <v>2016</v>
      </c>
      <c r="C308" s="4" t="s">
        <v>130</v>
      </c>
      <c r="D308" s="4" t="s">
        <v>442</v>
      </c>
      <c r="E308" s="4">
        <v>2513406309.6900001</v>
      </c>
      <c r="F308" s="4" t="s">
        <v>417</v>
      </c>
      <c r="G308" s="4">
        <v>1</v>
      </c>
      <c r="H308" s="4" t="s">
        <v>443</v>
      </c>
      <c r="I308" s="4" t="s">
        <v>425</v>
      </c>
      <c r="J308" s="4" t="s">
        <v>135</v>
      </c>
      <c r="K308" s="4" t="s">
        <v>444</v>
      </c>
      <c r="L308" s="16" t="s">
        <v>427</v>
      </c>
    </row>
    <row r="309" spans="1:12" ht="36">
      <c r="A309" s="4" t="s">
        <v>117</v>
      </c>
      <c r="B309" s="4">
        <v>2016</v>
      </c>
      <c r="C309" s="4" t="s">
        <v>130</v>
      </c>
      <c r="D309" s="4" t="s">
        <v>394</v>
      </c>
      <c r="E309" s="4">
        <v>60088000.548</v>
      </c>
      <c r="F309" s="4" t="s">
        <v>395</v>
      </c>
      <c r="G309" s="4">
        <v>1000</v>
      </c>
      <c r="H309" s="4" t="s">
        <v>396</v>
      </c>
      <c r="I309" s="4" t="s">
        <v>397</v>
      </c>
      <c r="J309" s="4" t="s">
        <v>135</v>
      </c>
      <c r="K309" s="4" t="s">
        <v>398</v>
      </c>
      <c r="L309" s="16" t="s">
        <v>399</v>
      </c>
    </row>
    <row r="310" spans="1:12" ht="36">
      <c r="A310" s="4" t="s">
        <v>117</v>
      </c>
      <c r="B310" s="4">
        <v>2016</v>
      </c>
      <c r="C310" s="4" t="s">
        <v>130</v>
      </c>
      <c r="D310" s="4" t="s">
        <v>400</v>
      </c>
      <c r="E310" s="4">
        <v>23024.73</v>
      </c>
      <c r="F310" s="4" t="s">
        <v>401</v>
      </c>
      <c r="G310" s="4">
        <v>1</v>
      </c>
      <c r="H310" s="4" t="s">
        <v>402</v>
      </c>
      <c r="I310" s="4" t="s">
        <v>403</v>
      </c>
      <c r="J310" s="4" t="s">
        <v>135</v>
      </c>
      <c r="K310" s="4" t="s">
        <v>404</v>
      </c>
      <c r="L310" s="16" t="s">
        <v>399</v>
      </c>
    </row>
    <row r="311" spans="1:12" ht="15.75">
      <c r="A311" s="4" t="s">
        <v>117</v>
      </c>
      <c r="B311" s="4">
        <v>2016</v>
      </c>
      <c r="C311" s="4" t="s">
        <v>130</v>
      </c>
      <c r="D311" s="4" t="s">
        <v>445</v>
      </c>
      <c r="E311" s="4">
        <v>2609716</v>
      </c>
      <c r="F311" s="4" t="s">
        <v>446</v>
      </c>
      <c r="G311" s="4">
        <v>1</v>
      </c>
      <c r="H311" s="4" t="s">
        <v>447</v>
      </c>
      <c r="I311" s="4" t="s">
        <v>448</v>
      </c>
      <c r="J311" s="4" t="s">
        <v>449</v>
      </c>
      <c r="K311" s="4" t="s">
        <v>450</v>
      </c>
      <c r="L311" s="16" t="s">
        <v>451</v>
      </c>
    </row>
    <row r="312" spans="1:12" ht="15.75">
      <c r="A312" s="4" t="s">
        <v>117</v>
      </c>
      <c r="B312" s="4">
        <v>2016</v>
      </c>
      <c r="C312" s="4" t="s">
        <v>130</v>
      </c>
      <c r="D312" s="4" t="s">
        <v>452</v>
      </c>
      <c r="E312" s="4">
        <v>5363994044.8699999</v>
      </c>
      <c r="F312" s="4" t="s">
        <v>417</v>
      </c>
      <c r="G312" s="4">
        <v>1</v>
      </c>
      <c r="H312" s="4" t="s">
        <v>453</v>
      </c>
      <c r="I312" s="4" t="s">
        <v>454</v>
      </c>
      <c r="J312" s="4" t="s">
        <v>135</v>
      </c>
      <c r="K312" s="4" t="s">
        <v>455</v>
      </c>
      <c r="L312" s="16" t="s">
        <v>427</v>
      </c>
    </row>
    <row r="313" spans="1:12" ht="24">
      <c r="A313" s="4" t="s">
        <v>117</v>
      </c>
      <c r="B313" s="4">
        <v>2016</v>
      </c>
      <c r="C313" s="4" t="s">
        <v>130</v>
      </c>
      <c r="D313" s="4" t="s">
        <v>456</v>
      </c>
      <c r="E313" s="4"/>
      <c r="F313" s="4" t="s">
        <v>417</v>
      </c>
      <c r="G313" s="4">
        <v>1</v>
      </c>
      <c r="H313" s="4" t="s">
        <v>457</v>
      </c>
      <c r="I313" s="4"/>
      <c r="J313" s="4" t="s">
        <v>458</v>
      </c>
      <c r="K313" s="4" t="s">
        <v>459</v>
      </c>
      <c r="L313" s="16" t="s">
        <v>427</v>
      </c>
    </row>
    <row r="314" spans="1:12" ht="15.75">
      <c r="A314" s="4" t="s">
        <v>117</v>
      </c>
      <c r="B314" s="4">
        <v>2016</v>
      </c>
      <c r="C314" s="4" t="s">
        <v>130</v>
      </c>
      <c r="D314" s="4" t="s">
        <v>460</v>
      </c>
      <c r="E314" s="4">
        <v>6627300489.8299999</v>
      </c>
      <c r="F314" s="4" t="s">
        <v>417</v>
      </c>
      <c r="G314" s="4">
        <v>1</v>
      </c>
      <c r="H314" s="4" t="s">
        <v>461</v>
      </c>
      <c r="I314" s="4" t="s">
        <v>430</v>
      </c>
      <c r="J314" s="4" t="s">
        <v>135</v>
      </c>
      <c r="K314" s="4" t="s">
        <v>462</v>
      </c>
      <c r="L314" s="16" t="s">
        <v>421</v>
      </c>
    </row>
    <row r="315" spans="1:12" ht="36">
      <c r="A315" s="4" t="s">
        <v>117</v>
      </c>
      <c r="B315" s="4">
        <v>2016</v>
      </c>
      <c r="C315" s="4" t="s">
        <v>130</v>
      </c>
      <c r="D315" s="4" t="s">
        <v>463</v>
      </c>
      <c r="E315" s="4">
        <v>1767432009.3900001</v>
      </c>
      <c r="F315" s="4" t="s">
        <v>417</v>
      </c>
      <c r="G315" s="4">
        <v>1</v>
      </c>
      <c r="H315" s="4" t="s">
        <v>464</v>
      </c>
      <c r="I315" s="4" t="s">
        <v>465</v>
      </c>
      <c r="J315" s="4" t="s">
        <v>135</v>
      </c>
      <c r="K315" s="4" t="s">
        <v>466</v>
      </c>
      <c r="L315" s="16" t="s">
        <v>421</v>
      </c>
    </row>
    <row r="316" spans="1:12" ht="36">
      <c r="A316" s="4" t="s">
        <v>117</v>
      </c>
      <c r="B316" s="4">
        <v>2016</v>
      </c>
      <c r="C316" s="4" t="s">
        <v>130</v>
      </c>
      <c r="D316" s="4" t="s">
        <v>467</v>
      </c>
      <c r="E316" s="4">
        <v>1180729581.5999999</v>
      </c>
      <c r="F316" s="4" t="s">
        <v>417</v>
      </c>
      <c r="G316" s="4">
        <v>1</v>
      </c>
      <c r="H316" s="4" t="s">
        <v>468</v>
      </c>
      <c r="I316" s="4" t="s">
        <v>469</v>
      </c>
      <c r="J316" s="4" t="s">
        <v>135</v>
      </c>
      <c r="K316" s="4" t="s">
        <v>466</v>
      </c>
      <c r="L316" s="16" t="s">
        <v>421</v>
      </c>
    </row>
    <row r="317" spans="1:12" ht="24">
      <c r="A317" s="4" t="s">
        <v>117</v>
      </c>
      <c r="B317" s="4">
        <v>2017</v>
      </c>
      <c r="C317" s="4" t="s">
        <v>193</v>
      </c>
      <c r="D317" s="4" t="s">
        <v>416</v>
      </c>
      <c r="E317" s="4">
        <v>1581003181.51</v>
      </c>
      <c r="F317" s="4" t="s">
        <v>417</v>
      </c>
      <c r="G317" s="4">
        <v>1</v>
      </c>
      <c r="H317" s="4" t="s">
        <v>418</v>
      </c>
      <c r="I317" s="4" t="s">
        <v>419</v>
      </c>
      <c r="J317" s="4" t="s">
        <v>135</v>
      </c>
      <c r="K317" s="4" t="s">
        <v>420</v>
      </c>
      <c r="L317" s="16" t="s">
        <v>470</v>
      </c>
    </row>
    <row r="318" spans="1:12" ht="24">
      <c r="A318" s="4" t="s">
        <v>117</v>
      </c>
      <c r="B318" s="4">
        <v>2017</v>
      </c>
      <c r="C318" s="4" t="s">
        <v>193</v>
      </c>
      <c r="D318" s="4" t="s">
        <v>422</v>
      </c>
      <c r="E318" s="4">
        <v>47.05</v>
      </c>
      <c r="F318" s="4" t="s">
        <v>423</v>
      </c>
      <c r="G318" s="4">
        <v>1</v>
      </c>
      <c r="H318" s="4" t="s">
        <v>471</v>
      </c>
      <c r="I318" s="4" t="s">
        <v>425</v>
      </c>
      <c r="J318" s="4" t="s">
        <v>135</v>
      </c>
      <c r="K318" s="4" t="s">
        <v>426</v>
      </c>
      <c r="L318" s="16" t="s">
        <v>472</v>
      </c>
    </row>
    <row r="319" spans="1:12" ht="24">
      <c r="A319" s="4" t="s">
        <v>117</v>
      </c>
      <c r="B319" s="4">
        <v>2017</v>
      </c>
      <c r="C319" s="4" t="s">
        <v>193</v>
      </c>
      <c r="D319" s="4" t="s">
        <v>428</v>
      </c>
      <c r="E319" s="4">
        <v>386388558.02999997</v>
      </c>
      <c r="F319" s="4" t="s">
        <v>417</v>
      </c>
      <c r="G319" s="4">
        <v>1</v>
      </c>
      <c r="H319" s="4" t="s">
        <v>429</v>
      </c>
      <c r="I319" s="4" t="s">
        <v>430</v>
      </c>
      <c r="J319" s="4" t="s">
        <v>431</v>
      </c>
      <c r="K319" s="4" t="s">
        <v>432</v>
      </c>
      <c r="L319" s="16" t="s">
        <v>470</v>
      </c>
    </row>
    <row r="320" spans="1:12" ht="15.75">
      <c r="A320" s="4" t="s">
        <v>117</v>
      </c>
      <c r="B320" s="4">
        <v>2017</v>
      </c>
      <c r="C320" s="4" t="s">
        <v>193</v>
      </c>
      <c r="D320" s="4" t="s">
        <v>433</v>
      </c>
      <c r="E320" s="4">
        <v>6525657824.3500004</v>
      </c>
      <c r="F320" s="4" t="s">
        <v>417</v>
      </c>
      <c r="G320" s="4">
        <v>1</v>
      </c>
      <c r="H320" s="4" t="s">
        <v>434</v>
      </c>
      <c r="I320" s="4" t="s">
        <v>435</v>
      </c>
      <c r="J320" s="4" t="s">
        <v>135</v>
      </c>
      <c r="K320" s="4" t="s">
        <v>436</v>
      </c>
      <c r="L320" s="16" t="s">
        <v>473</v>
      </c>
    </row>
    <row r="321" spans="1:12" ht="15.75">
      <c r="A321" s="4" t="s">
        <v>117</v>
      </c>
      <c r="B321" s="4">
        <v>2017</v>
      </c>
      <c r="C321" s="4" t="s">
        <v>193</v>
      </c>
      <c r="D321" s="4" t="s">
        <v>438</v>
      </c>
      <c r="E321" s="4">
        <v>6367882365.8999996</v>
      </c>
      <c r="F321" s="4" t="s">
        <v>417</v>
      </c>
      <c r="G321" s="4">
        <v>1</v>
      </c>
      <c r="H321" s="4" t="s">
        <v>439</v>
      </c>
      <c r="I321" s="4" t="s">
        <v>435</v>
      </c>
      <c r="J321" s="4" t="s">
        <v>135</v>
      </c>
      <c r="K321" s="4" t="s">
        <v>436</v>
      </c>
      <c r="L321" s="16" t="s">
        <v>473</v>
      </c>
    </row>
    <row r="322" spans="1:12" ht="15.75">
      <c r="A322" s="4" t="s">
        <v>117</v>
      </c>
      <c r="B322" s="4">
        <v>2017</v>
      </c>
      <c r="C322" s="4" t="s">
        <v>193</v>
      </c>
      <c r="D322" s="4" t="s">
        <v>440</v>
      </c>
      <c r="E322" s="4">
        <v>6306144271.5</v>
      </c>
      <c r="F322" s="4" t="s">
        <v>417</v>
      </c>
      <c r="G322" s="4">
        <v>1</v>
      </c>
      <c r="H322" s="4" t="s">
        <v>441</v>
      </c>
      <c r="I322" s="4" t="s">
        <v>435</v>
      </c>
      <c r="J322" s="4" t="s">
        <v>135</v>
      </c>
      <c r="K322" s="4" t="s">
        <v>436</v>
      </c>
      <c r="L322" s="16" t="s">
        <v>473</v>
      </c>
    </row>
    <row r="323" spans="1:12" ht="24">
      <c r="A323" s="4" t="s">
        <v>117</v>
      </c>
      <c r="B323" s="4">
        <v>2017</v>
      </c>
      <c r="C323" s="4" t="s">
        <v>193</v>
      </c>
      <c r="D323" s="4" t="s">
        <v>442</v>
      </c>
      <c r="E323" s="4">
        <v>2643555559.9099998</v>
      </c>
      <c r="F323" s="4" t="s">
        <v>417</v>
      </c>
      <c r="G323" s="4">
        <v>1</v>
      </c>
      <c r="H323" s="4" t="s">
        <v>474</v>
      </c>
      <c r="I323" s="4" t="s">
        <v>425</v>
      </c>
      <c r="J323" s="4" t="s">
        <v>135</v>
      </c>
      <c r="K323" s="4" t="s">
        <v>444</v>
      </c>
      <c r="L323" s="16" t="s">
        <v>472</v>
      </c>
    </row>
    <row r="324" spans="1:12" ht="15.75">
      <c r="A324" s="4" t="s">
        <v>117</v>
      </c>
      <c r="B324" s="4">
        <v>2017</v>
      </c>
      <c r="C324" s="4" t="s">
        <v>193</v>
      </c>
      <c r="D324" s="4" t="s">
        <v>374</v>
      </c>
      <c r="E324" s="4">
        <v>5.3360000000000003</v>
      </c>
      <c r="F324" s="4" t="s">
        <v>375</v>
      </c>
      <c r="G324" s="4">
        <v>1</v>
      </c>
      <c r="H324" s="4" t="s">
        <v>475</v>
      </c>
      <c r="I324" s="4" t="s">
        <v>377</v>
      </c>
      <c r="J324" s="4" t="s">
        <v>378</v>
      </c>
      <c r="K324" s="4" t="s">
        <v>379</v>
      </c>
      <c r="L324" s="16" t="s">
        <v>380</v>
      </c>
    </row>
    <row r="325" spans="1:12" ht="15.75">
      <c r="A325" s="4" t="s">
        <v>117</v>
      </c>
      <c r="B325" s="4">
        <v>2017</v>
      </c>
      <c r="C325" s="4" t="s">
        <v>193</v>
      </c>
      <c r="D325" s="4" t="s">
        <v>381</v>
      </c>
      <c r="E325" s="4">
        <v>6.174518</v>
      </c>
      <c r="F325" s="4" t="s">
        <v>375</v>
      </c>
      <c r="G325" s="4">
        <v>1</v>
      </c>
      <c r="H325" s="4" t="s">
        <v>475</v>
      </c>
      <c r="I325" s="4" t="s">
        <v>377</v>
      </c>
      <c r="J325" s="4" t="s">
        <v>378</v>
      </c>
      <c r="K325" s="4" t="s">
        <v>379</v>
      </c>
      <c r="L325" s="16" t="s">
        <v>382</v>
      </c>
    </row>
    <row r="326" spans="1:12" ht="15.75">
      <c r="A326" s="4" t="s">
        <v>117</v>
      </c>
      <c r="B326" s="4">
        <v>2017</v>
      </c>
      <c r="C326" s="4" t="s">
        <v>193</v>
      </c>
      <c r="D326" s="4" t="s">
        <v>383</v>
      </c>
      <c r="E326" s="4">
        <v>0.91990700000000003</v>
      </c>
      <c r="F326" s="4" t="s">
        <v>384</v>
      </c>
      <c r="G326" s="4">
        <v>1</v>
      </c>
      <c r="H326" s="4" t="s">
        <v>476</v>
      </c>
      <c r="I326" s="4" t="s">
        <v>377</v>
      </c>
      <c r="J326" s="4" t="s">
        <v>378</v>
      </c>
      <c r="K326" s="4" t="s">
        <v>379</v>
      </c>
      <c r="L326" s="16" t="s">
        <v>380</v>
      </c>
    </row>
    <row r="327" spans="1:12" ht="15.75">
      <c r="A327" s="4" t="s">
        <v>117</v>
      </c>
      <c r="B327" s="4">
        <v>2017</v>
      </c>
      <c r="C327" s="4" t="s">
        <v>193</v>
      </c>
      <c r="D327" s="4" t="s">
        <v>386</v>
      </c>
      <c r="E327" s="4">
        <v>0.965418</v>
      </c>
      <c r="F327" s="4" t="s">
        <v>384</v>
      </c>
      <c r="G327" s="4">
        <v>1</v>
      </c>
      <c r="H327" s="4" t="s">
        <v>476</v>
      </c>
      <c r="I327" s="4" t="s">
        <v>377</v>
      </c>
      <c r="J327" s="4" t="s">
        <v>378</v>
      </c>
      <c r="K327" s="4" t="s">
        <v>379</v>
      </c>
      <c r="L327" s="16" t="s">
        <v>382</v>
      </c>
    </row>
    <row r="328" spans="1:12" ht="36">
      <c r="A328" s="4" t="s">
        <v>117</v>
      </c>
      <c r="B328" s="4">
        <v>2017</v>
      </c>
      <c r="C328" s="4" t="s">
        <v>193</v>
      </c>
      <c r="D328" s="4" t="s">
        <v>394</v>
      </c>
      <c r="E328" s="4">
        <v>61592346.898000002</v>
      </c>
      <c r="F328" s="4" t="s">
        <v>395</v>
      </c>
      <c r="G328" s="4">
        <v>1000</v>
      </c>
      <c r="H328" s="4" t="s">
        <v>396</v>
      </c>
      <c r="I328" s="4" t="s">
        <v>397</v>
      </c>
      <c r="J328" s="4" t="s">
        <v>135</v>
      </c>
      <c r="K328" s="4" t="s">
        <v>398</v>
      </c>
      <c r="L328" s="16" t="s">
        <v>399</v>
      </c>
    </row>
    <row r="329" spans="1:12" ht="36">
      <c r="A329" s="4" t="s">
        <v>117</v>
      </c>
      <c r="B329" s="4">
        <v>2017</v>
      </c>
      <c r="C329" s="4" t="s">
        <v>193</v>
      </c>
      <c r="D329" s="4" t="s">
        <v>400</v>
      </c>
      <c r="E329" s="4">
        <v>23441.59</v>
      </c>
      <c r="F329" s="4" t="s">
        <v>401</v>
      </c>
      <c r="G329" s="4">
        <v>1</v>
      </c>
      <c r="H329" s="4" t="s">
        <v>402</v>
      </c>
      <c r="I329" s="4" t="s">
        <v>403</v>
      </c>
      <c r="J329" s="4" t="s">
        <v>135</v>
      </c>
      <c r="K329" s="4" t="s">
        <v>404</v>
      </c>
      <c r="L329" s="16" t="s">
        <v>399</v>
      </c>
    </row>
    <row r="330" spans="1:12" ht="15.75">
      <c r="A330" s="4" t="s">
        <v>117</v>
      </c>
      <c r="B330" s="4">
        <v>2017</v>
      </c>
      <c r="C330" s="4" t="s">
        <v>193</v>
      </c>
      <c r="D330" s="4" t="s">
        <v>445</v>
      </c>
      <c r="E330" s="4">
        <v>2627482</v>
      </c>
      <c r="F330" s="4" t="s">
        <v>446</v>
      </c>
      <c r="G330" s="4">
        <v>1</v>
      </c>
      <c r="H330" s="4" t="s">
        <v>447</v>
      </c>
      <c r="I330" s="4" t="s">
        <v>448</v>
      </c>
      <c r="J330" s="4" t="s">
        <v>449</v>
      </c>
      <c r="K330" s="4" t="s">
        <v>450</v>
      </c>
      <c r="L330" s="16" t="s">
        <v>451</v>
      </c>
    </row>
    <row r="331" spans="1:12" ht="15.75">
      <c r="A331" s="4" t="s">
        <v>117</v>
      </c>
      <c r="B331" s="4">
        <v>2017</v>
      </c>
      <c r="C331" s="4" t="s">
        <v>193</v>
      </c>
      <c r="D331" s="4" t="s">
        <v>452</v>
      </c>
      <c r="E331" s="4">
        <v>5618803666.25</v>
      </c>
      <c r="F331" s="4" t="s">
        <v>417</v>
      </c>
      <c r="G331" s="4">
        <v>1</v>
      </c>
      <c r="H331" s="4" t="s">
        <v>453</v>
      </c>
      <c r="I331" s="4" t="s">
        <v>454</v>
      </c>
      <c r="J331" s="4" t="s">
        <v>135</v>
      </c>
      <c r="K331" s="4" t="s">
        <v>455</v>
      </c>
      <c r="L331" s="16" t="s">
        <v>472</v>
      </c>
    </row>
    <row r="332" spans="1:12" ht="24">
      <c r="A332" s="4" t="s">
        <v>117</v>
      </c>
      <c r="B332" s="4">
        <v>2017</v>
      </c>
      <c r="C332" s="4" t="s">
        <v>193</v>
      </c>
      <c r="D332" s="4" t="s">
        <v>456</v>
      </c>
      <c r="E332" s="4">
        <v>5618803666.25</v>
      </c>
      <c r="F332" s="4" t="s">
        <v>417</v>
      </c>
      <c r="G332" s="4">
        <v>1</v>
      </c>
      <c r="H332" s="4" t="s">
        <v>477</v>
      </c>
      <c r="I332" s="4" t="s">
        <v>478</v>
      </c>
      <c r="J332" s="4" t="s">
        <v>135</v>
      </c>
      <c r="K332" s="4" t="s">
        <v>459</v>
      </c>
      <c r="L332" s="16" t="s">
        <v>472</v>
      </c>
    </row>
    <row r="333" spans="1:12" ht="15.75">
      <c r="A333" s="4" t="s">
        <v>117</v>
      </c>
      <c r="B333" s="4">
        <v>2017</v>
      </c>
      <c r="C333" s="4" t="s">
        <v>193</v>
      </c>
      <c r="D333" s="4" t="s">
        <v>460</v>
      </c>
      <c r="E333" s="4">
        <v>6810527069.4799995</v>
      </c>
      <c r="F333" s="4" t="s">
        <v>417</v>
      </c>
      <c r="G333" s="4">
        <v>1</v>
      </c>
      <c r="H333" s="4" t="s">
        <v>461</v>
      </c>
      <c r="I333" s="4" t="s">
        <v>430</v>
      </c>
      <c r="J333" s="4" t="s">
        <v>135</v>
      </c>
      <c r="K333" s="4" t="s">
        <v>462</v>
      </c>
      <c r="L333" s="16" t="s">
        <v>470</v>
      </c>
    </row>
    <row r="334" spans="1:12" ht="36">
      <c r="A334" s="4" t="s">
        <v>117</v>
      </c>
      <c r="B334" s="4">
        <v>2017</v>
      </c>
      <c r="C334" s="4" t="s">
        <v>193</v>
      </c>
      <c r="D334" s="4" t="s">
        <v>463</v>
      </c>
      <c r="E334" s="4">
        <v>1798178356.55</v>
      </c>
      <c r="F334" s="4" t="s">
        <v>417</v>
      </c>
      <c r="G334" s="4">
        <v>1</v>
      </c>
      <c r="H334" s="4" t="s">
        <v>464</v>
      </c>
      <c r="I334" s="4" t="s">
        <v>465</v>
      </c>
      <c r="J334" s="4" t="s">
        <v>135</v>
      </c>
      <c r="K334" s="4" t="s">
        <v>466</v>
      </c>
      <c r="L334" s="16" t="s">
        <v>470</v>
      </c>
    </row>
    <row r="335" spans="1:12" ht="36">
      <c r="A335" s="4" t="s">
        <v>117</v>
      </c>
      <c r="B335" s="4">
        <v>2017</v>
      </c>
      <c r="C335" s="4" t="s">
        <v>193</v>
      </c>
      <c r="D335" s="4" t="s">
        <v>467</v>
      </c>
      <c r="E335" s="4">
        <v>1278098372.46</v>
      </c>
      <c r="F335" s="4" t="s">
        <v>417</v>
      </c>
      <c r="G335" s="4">
        <v>1</v>
      </c>
      <c r="H335" s="4" t="s">
        <v>468</v>
      </c>
      <c r="I335" s="4" t="s">
        <v>469</v>
      </c>
      <c r="J335" s="4" t="s">
        <v>135</v>
      </c>
      <c r="K335" s="4" t="s">
        <v>466</v>
      </c>
      <c r="L335" s="16" t="s">
        <v>470</v>
      </c>
    </row>
    <row r="336" spans="1:12" ht="24">
      <c r="A336" s="4" t="s">
        <v>117</v>
      </c>
      <c r="B336" s="4">
        <v>2018</v>
      </c>
      <c r="C336" s="4" t="s">
        <v>196</v>
      </c>
      <c r="D336" s="4" t="s">
        <v>416</v>
      </c>
      <c r="E336" s="4">
        <v>1830239814.24</v>
      </c>
      <c r="F336" s="4" t="s">
        <v>417</v>
      </c>
      <c r="G336" s="4">
        <v>1</v>
      </c>
      <c r="H336" s="4" t="s">
        <v>479</v>
      </c>
      <c r="I336" s="4" t="s">
        <v>480</v>
      </c>
      <c r="J336" s="4" t="s">
        <v>135</v>
      </c>
      <c r="K336" s="4" t="s">
        <v>420</v>
      </c>
      <c r="L336" s="16" t="s">
        <v>481</v>
      </c>
    </row>
    <row r="337" spans="1:12" ht="24">
      <c r="A337" s="4" t="s">
        <v>117</v>
      </c>
      <c r="B337" s="4">
        <v>2018</v>
      </c>
      <c r="C337" s="4" t="s">
        <v>196</v>
      </c>
      <c r="D337" s="4" t="s">
        <v>422</v>
      </c>
      <c r="E337" s="4">
        <v>45.3</v>
      </c>
      <c r="F337" s="4" t="s">
        <v>423</v>
      </c>
      <c r="G337" s="4">
        <v>1</v>
      </c>
      <c r="H337" s="4" t="s">
        <v>471</v>
      </c>
      <c r="I337" s="4" t="s">
        <v>425</v>
      </c>
      <c r="J337" s="4" t="s">
        <v>135</v>
      </c>
      <c r="K337" s="4" t="s">
        <v>426</v>
      </c>
      <c r="L337" s="16" t="s">
        <v>482</v>
      </c>
    </row>
    <row r="338" spans="1:12" ht="24">
      <c r="A338" s="4" t="s">
        <v>117</v>
      </c>
      <c r="B338" s="4">
        <v>2018</v>
      </c>
      <c r="C338" s="4" t="s">
        <v>196</v>
      </c>
      <c r="D338" s="4" t="s">
        <v>428</v>
      </c>
      <c r="E338" s="4">
        <v>413801704.95999998</v>
      </c>
      <c r="F338" s="4" t="s">
        <v>417</v>
      </c>
      <c r="G338" s="4">
        <v>1</v>
      </c>
      <c r="H338" s="4" t="s">
        <v>429</v>
      </c>
      <c r="I338" s="4" t="s">
        <v>430</v>
      </c>
      <c r="J338" s="4" t="s">
        <v>431</v>
      </c>
      <c r="K338" s="4" t="s">
        <v>432</v>
      </c>
      <c r="L338" s="16" t="s">
        <v>481</v>
      </c>
    </row>
    <row r="339" spans="1:12" ht="15.75">
      <c r="A339" s="4" t="s">
        <v>117</v>
      </c>
      <c r="B339" s="4">
        <v>2018</v>
      </c>
      <c r="C339" s="4" t="s">
        <v>196</v>
      </c>
      <c r="D339" s="4" t="s">
        <v>433</v>
      </c>
      <c r="E339" s="4">
        <v>6876456829.6700001</v>
      </c>
      <c r="F339" s="4" t="s">
        <v>417</v>
      </c>
      <c r="G339" s="4">
        <v>1</v>
      </c>
      <c r="H339" s="4" t="s">
        <v>434</v>
      </c>
      <c r="I339" s="4" t="s">
        <v>435</v>
      </c>
      <c r="J339" s="4" t="s">
        <v>135</v>
      </c>
      <c r="K339" s="4" t="s">
        <v>436</v>
      </c>
      <c r="L339" s="16" t="s">
        <v>483</v>
      </c>
    </row>
    <row r="340" spans="1:12" ht="15.75">
      <c r="A340" s="4" t="s">
        <v>117</v>
      </c>
      <c r="B340" s="4">
        <v>2018</v>
      </c>
      <c r="C340" s="4" t="s">
        <v>196</v>
      </c>
      <c r="D340" s="4" t="s">
        <v>438</v>
      </c>
      <c r="E340" s="4">
        <v>6771621329.1999998</v>
      </c>
      <c r="F340" s="4" t="s">
        <v>417</v>
      </c>
      <c r="G340" s="4">
        <v>1</v>
      </c>
      <c r="H340" s="4" t="s">
        <v>439</v>
      </c>
      <c r="I340" s="4" t="s">
        <v>435</v>
      </c>
      <c r="J340" s="4" t="s">
        <v>135</v>
      </c>
      <c r="K340" s="4" t="s">
        <v>436</v>
      </c>
      <c r="L340" s="16" t="s">
        <v>483</v>
      </c>
    </row>
    <row r="341" spans="1:12" ht="15.75">
      <c r="A341" s="4" t="s">
        <v>117</v>
      </c>
      <c r="B341" s="4">
        <v>2018</v>
      </c>
      <c r="C341" s="4" t="s">
        <v>196</v>
      </c>
      <c r="D341" s="4" t="s">
        <v>440</v>
      </c>
      <c r="E341" s="4">
        <v>6733226157.0799999</v>
      </c>
      <c r="F341" s="4" t="s">
        <v>417</v>
      </c>
      <c r="G341" s="4">
        <v>1</v>
      </c>
      <c r="H341" s="4" t="s">
        <v>441</v>
      </c>
      <c r="I341" s="4" t="s">
        <v>435</v>
      </c>
      <c r="J341" s="4" t="s">
        <v>135</v>
      </c>
      <c r="K341" s="4" t="s">
        <v>436</v>
      </c>
      <c r="L341" s="16" t="s">
        <v>483</v>
      </c>
    </row>
    <row r="342" spans="1:12" ht="24">
      <c r="A342" s="4" t="s">
        <v>117</v>
      </c>
      <c r="B342" s="4">
        <v>2018</v>
      </c>
      <c r="C342" s="4" t="s">
        <v>196</v>
      </c>
      <c r="D342" s="4" t="s">
        <v>442</v>
      </c>
      <c r="E342" s="4">
        <v>2750674917.02</v>
      </c>
      <c r="F342" s="4" t="s">
        <v>417</v>
      </c>
      <c r="G342" s="4">
        <v>1</v>
      </c>
      <c r="H342" s="4" t="s">
        <v>474</v>
      </c>
      <c r="I342" s="4" t="s">
        <v>425</v>
      </c>
      <c r="J342" s="4" t="s">
        <v>135</v>
      </c>
      <c r="K342" s="4" t="s">
        <v>444</v>
      </c>
      <c r="L342" s="16" t="s">
        <v>482</v>
      </c>
    </row>
    <row r="343" spans="1:12" ht="36">
      <c r="A343" s="4" t="s">
        <v>117</v>
      </c>
      <c r="B343" s="4">
        <v>2018</v>
      </c>
      <c r="C343" s="4" t="s">
        <v>196</v>
      </c>
      <c r="D343" s="4" t="s">
        <v>394</v>
      </c>
      <c r="E343" s="4">
        <v>66381302.295999996</v>
      </c>
      <c r="F343" s="4" t="s">
        <v>395</v>
      </c>
      <c r="G343" s="4">
        <v>1000</v>
      </c>
      <c r="H343" s="4" t="s">
        <v>396</v>
      </c>
      <c r="I343" s="4" t="s">
        <v>397</v>
      </c>
      <c r="J343" s="4" t="s">
        <v>135</v>
      </c>
      <c r="K343" s="4" t="s">
        <v>398</v>
      </c>
      <c r="L343" s="16" t="s">
        <v>399</v>
      </c>
    </row>
    <row r="344" spans="1:12" ht="36">
      <c r="A344" s="4" t="s">
        <v>117</v>
      </c>
      <c r="B344" s="4">
        <v>2018</v>
      </c>
      <c r="C344" s="4" t="s">
        <v>196</v>
      </c>
      <c r="D344" s="4" t="s">
        <v>400</v>
      </c>
      <c r="E344" s="4">
        <v>25113.54</v>
      </c>
      <c r="F344" s="4" t="s">
        <v>401</v>
      </c>
      <c r="G344" s="4">
        <v>1</v>
      </c>
      <c r="H344" s="4" t="s">
        <v>402</v>
      </c>
      <c r="I344" s="4" t="s">
        <v>403</v>
      </c>
      <c r="J344" s="4" t="s">
        <v>135</v>
      </c>
      <c r="K344" s="4" t="s">
        <v>404</v>
      </c>
      <c r="L344" s="16" t="s">
        <v>399</v>
      </c>
    </row>
    <row r="345" spans="1:12" ht="15.75">
      <c r="A345" s="4" t="s">
        <v>117</v>
      </c>
      <c r="B345" s="4">
        <v>2018</v>
      </c>
      <c r="C345" s="4" t="s">
        <v>196</v>
      </c>
      <c r="D345" s="4" t="s">
        <v>445</v>
      </c>
      <c r="E345" s="4">
        <v>2643247</v>
      </c>
      <c r="F345" s="4" t="s">
        <v>446</v>
      </c>
      <c r="G345" s="4">
        <v>1</v>
      </c>
      <c r="H345" s="4" t="s">
        <v>447</v>
      </c>
      <c r="I345" s="4" t="s">
        <v>448</v>
      </c>
      <c r="J345" s="4" t="s">
        <v>449</v>
      </c>
      <c r="K345" s="4" t="s">
        <v>450</v>
      </c>
      <c r="L345" s="16" t="s">
        <v>451</v>
      </c>
    </row>
    <row r="346" spans="1:12" ht="15.75">
      <c r="A346" s="4" t="s">
        <v>117</v>
      </c>
      <c r="B346" s="4">
        <v>2018</v>
      </c>
      <c r="C346" s="4" t="s">
        <v>196</v>
      </c>
      <c r="D346" s="4" t="s">
        <v>452</v>
      </c>
      <c r="E346" s="4">
        <v>6082259997.6400003</v>
      </c>
      <c r="F346" s="4" t="s">
        <v>417</v>
      </c>
      <c r="G346" s="4">
        <v>1</v>
      </c>
      <c r="H346" s="4" t="s">
        <v>453</v>
      </c>
      <c r="I346" s="4" t="s">
        <v>454</v>
      </c>
      <c r="J346" s="4" t="s">
        <v>135</v>
      </c>
      <c r="K346" s="4" t="s">
        <v>455</v>
      </c>
      <c r="L346" s="16" t="s">
        <v>482</v>
      </c>
    </row>
    <row r="347" spans="1:12" ht="24">
      <c r="A347" s="4" t="s">
        <v>117</v>
      </c>
      <c r="B347" s="4">
        <v>2018</v>
      </c>
      <c r="C347" s="4" t="s">
        <v>196</v>
      </c>
      <c r="D347" s="4" t="s">
        <v>456</v>
      </c>
      <c r="E347" s="4">
        <v>6072188411.6400003</v>
      </c>
      <c r="F347" s="4" t="s">
        <v>417</v>
      </c>
      <c r="G347" s="4">
        <v>1</v>
      </c>
      <c r="H347" s="4" t="s">
        <v>477</v>
      </c>
      <c r="I347" s="4" t="s">
        <v>478</v>
      </c>
      <c r="J347" s="4" t="s">
        <v>135</v>
      </c>
      <c r="K347" s="4" t="s">
        <v>459</v>
      </c>
      <c r="L347" s="16" t="s">
        <v>482</v>
      </c>
    </row>
    <row r="348" spans="1:12" ht="15.75">
      <c r="A348" s="4" t="s">
        <v>117</v>
      </c>
      <c r="B348" s="4">
        <v>2018</v>
      </c>
      <c r="C348" s="4" t="s">
        <v>196</v>
      </c>
      <c r="D348" s="4" t="s">
        <v>460</v>
      </c>
      <c r="E348" s="4">
        <v>7415661352.8800001</v>
      </c>
      <c r="F348" s="4" t="s">
        <v>417</v>
      </c>
      <c r="G348" s="4">
        <v>1</v>
      </c>
      <c r="H348" s="4" t="s">
        <v>461</v>
      </c>
      <c r="I348" s="4" t="s">
        <v>430</v>
      </c>
      <c r="J348" s="4" t="s">
        <v>135</v>
      </c>
      <c r="K348" s="4" t="s">
        <v>462</v>
      </c>
      <c r="L348" s="16" t="s">
        <v>481</v>
      </c>
    </row>
    <row r="349" spans="1:12" ht="36">
      <c r="A349" s="4" t="s">
        <v>117</v>
      </c>
      <c r="B349" s="4">
        <v>2018</v>
      </c>
      <c r="C349" s="4" t="s">
        <v>196</v>
      </c>
      <c r="D349" s="4" t="s">
        <v>463</v>
      </c>
      <c r="E349" s="4">
        <v>1948077597.22</v>
      </c>
      <c r="F349" s="4" t="s">
        <v>417</v>
      </c>
      <c r="G349" s="4">
        <v>1</v>
      </c>
      <c r="H349" s="4" t="s">
        <v>484</v>
      </c>
      <c r="I349" s="4" t="s">
        <v>485</v>
      </c>
      <c r="J349" s="4" t="s">
        <v>135</v>
      </c>
      <c r="K349" s="4" t="s">
        <v>466</v>
      </c>
      <c r="L349" s="16" t="s">
        <v>481</v>
      </c>
    </row>
    <row r="350" spans="1:12" ht="36">
      <c r="A350" s="4" t="s">
        <v>117</v>
      </c>
      <c r="B350" s="4">
        <v>2018</v>
      </c>
      <c r="C350" s="4" t="s">
        <v>196</v>
      </c>
      <c r="D350" s="4" t="s">
        <v>467</v>
      </c>
      <c r="E350" s="4">
        <v>1389540618.78</v>
      </c>
      <c r="F350" s="4" t="s">
        <v>417</v>
      </c>
      <c r="G350" s="4">
        <v>1</v>
      </c>
      <c r="H350" s="4" t="s">
        <v>486</v>
      </c>
      <c r="I350" s="4" t="s">
        <v>487</v>
      </c>
      <c r="J350" s="4" t="s">
        <v>135</v>
      </c>
      <c r="K350" s="4" t="s">
        <v>466</v>
      </c>
      <c r="L350" s="16" t="s">
        <v>481</v>
      </c>
    </row>
    <row r="351" spans="1:12" ht="24">
      <c r="A351" s="4" t="s">
        <v>117</v>
      </c>
      <c r="B351" s="4">
        <v>2019</v>
      </c>
      <c r="C351" s="4" t="s">
        <v>199</v>
      </c>
      <c r="D351" s="4" t="s">
        <v>416</v>
      </c>
      <c r="E351" s="4">
        <v>1982394204.8599999</v>
      </c>
      <c r="F351" s="4" t="s">
        <v>417</v>
      </c>
      <c r="G351" s="4">
        <v>1</v>
      </c>
      <c r="H351" s="4" t="s">
        <v>479</v>
      </c>
      <c r="I351" s="4" t="s">
        <v>480</v>
      </c>
      <c r="J351" s="4" t="s">
        <v>135</v>
      </c>
      <c r="K351" s="4" t="s">
        <v>420</v>
      </c>
      <c r="L351" s="16" t="s">
        <v>488</v>
      </c>
    </row>
    <row r="352" spans="1:12" ht="24">
      <c r="A352" s="4" t="s">
        <v>117</v>
      </c>
      <c r="B352" s="4">
        <v>2019</v>
      </c>
      <c r="C352" s="4" t="s">
        <v>199</v>
      </c>
      <c r="D352" s="4" t="s">
        <v>422</v>
      </c>
      <c r="E352" s="4">
        <v>42.31</v>
      </c>
      <c r="F352" s="4" t="s">
        <v>423</v>
      </c>
      <c r="G352" s="4">
        <v>1</v>
      </c>
      <c r="H352" s="4" t="s">
        <v>471</v>
      </c>
      <c r="I352" s="4" t="s">
        <v>425</v>
      </c>
      <c r="J352" s="4" t="s">
        <v>135</v>
      </c>
      <c r="K352" s="4" t="s">
        <v>426</v>
      </c>
      <c r="L352" s="16" t="s">
        <v>489</v>
      </c>
    </row>
    <row r="353" spans="1:12" ht="24">
      <c r="A353" s="4" t="s">
        <v>117</v>
      </c>
      <c r="B353" s="4">
        <v>2019</v>
      </c>
      <c r="C353" s="4" t="s">
        <v>199</v>
      </c>
      <c r="D353" s="4" t="s">
        <v>428</v>
      </c>
      <c r="E353" s="4">
        <v>445747434.22000003</v>
      </c>
      <c r="F353" s="4" t="s">
        <v>417</v>
      </c>
      <c r="G353" s="4">
        <v>1</v>
      </c>
      <c r="H353" s="4" t="s">
        <v>429</v>
      </c>
      <c r="I353" s="4" t="s">
        <v>430</v>
      </c>
      <c r="J353" s="4" t="s">
        <v>431</v>
      </c>
      <c r="K353" s="4" t="s">
        <v>432</v>
      </c>
      <c r="L353" s="16" t="s">
        <v>488</v>
      </c>
    </row>
    <row r="354" spans="1:12" ht="15.75">
      <c r="A354" s="4" t="s">
        <v>117</v>
      </c>
      <c r="B354" s="4">
        <v>2019</v>
      </c>
      <c r="C354" s="4" t="s">
        <v>199</v>
      </c>
      <c r="D354" s="4" t="s">
        <v>433</v>
      </c>
      <c r="E354" s="4">
        <v>8207466751.46</v>
      </c>
      <c r="F354" s="4" t="s">
        <v>417</v>
      </c>
      <c r="G354" s="4">
        <v>1</v>
      </c>
      <c r="H354" s="4" t="s">
        <v>434</v>
      </c>
      <c r="I354" s="4" t="s">
        <v>435</v>
      </c>
      <c r="J354" s="4" t="s">
        <v>135</v>
      </c>
      <c r="K354" s="4" t="s">
        <v>436</v>
      </c>
      <c r="L354" s="16" t="s">
        <v>490</v>
      </c>
    </row>
    <row r="355" spans="1:12" ht="15.75">
      <c r="A355" s="4" t="s">
        <v>117</v>
      </c>
      <c r="B355" s="4">
        <v>2019</v>
      </c>
      <c r="C355" s="4" t="s">
        <v>199</v>
      </c>
      <c r="D355" s="4" t="s">
        <v>438</v>
      </c>
      <c r="E355" s="4">
        <v>7833173395.6899996</v>
      </c>
      <c r="F355" s="4" t="s">
        <v>417</v>
      </c>
      <c r="G355" s="4">
        <v>1</v>
      </c>
      <c r="H355" s="4" t="s">
        <v>439</v>
      </c>
      <c r="I355" s="4" t="s">
        <v>435</v>
      </c>
      <c r="J355" s="4" t="s">
        <v>135</v>
      </c>
      <c r="K355" s="4" t="s">
        <v>436</v>
      </c>
      <c r="L355" s="16" t="s">
        <v>490</v>
      </c>
    </row>
    <row r="356" spans="1:12" ht="15.75">
      <c r="A356" s="4" t="s">
        <v>117</v>
      </c>
      <c r="B356" s="4">
        <v>2019</v>
      </c>
      <c r="C356" s="4" t="s">
        <v>199</v>
      </c>
      <c r="D356" s="4" t="s">
        <v>440</v>
      </c>
      <c r="E356" s="4">
        <v>7770736477.71</v>
      </c>
      <c r="F356" s="4" t="s">
        <v>417</v>
      </c>
      <c r="G356" s="4">
        <v>1</v>
      </c>
      <c r="H356" s="4" t="s">
        <v>441</v>
      </c>
      <c r="I356" s="4" t="s">
        <v>435</v>
      </c>
      <c r="J356" s="4" t="s">
        <v>135</v>
      </c>
      <c r="K356" s="4" t="s">
        <v>436</v>
      </c>
      <c r="L356" s="16" t="s">
        <v>490</v>
      </c>
    </row>
    <row r="357" spans="1:12" ht="24">
      <c r="A357" s="4" t="s">
        <v>117</v>
      </c>
      <c r="B357" s="4">
        <v>2019</v>
      </c>
      <c r="C357" s="4" t="s">
        <v>199</v>
      </c>
      <c r="D357" s="4" t="s">
        <v>442</v>
      </c>
      <c r="E357" s="4">
        <v>2913235567.52</v>
      </c>
      <c r="F357" s="4" t="s">
        <v>417</v>
      </c>
      <c r="G357" s="4">
        <v>1</v>
      </c>
      <c r="H357" s="4" t="s">
        <v>474</v>
      </c>
      <c r="I357" s="4" t="s">
        <v>425</v>
      </c>
      <c r="J357" s="4" t="s">
        <v>135</v>
      </c>
      <c r="K357" s="4" t="s">
        <v>444</v>
      </c>
      <c r="L357" s="16" t="s">
        <v>489</v>
      </c>
    </row>
    <row r="358" spans="1:12" ht="15.75">
      <c r="A358" s="4" t="s">
        <v>117</v>
      </c>
      <c r="B358" s="4">
        <v>2019</v>
      </c>
      <c r="C358" s="4" t="s">
        <v>199</v>
      </c>
      <c r="D358" s="4" t="s">
        <v>374</v>
      </c>
      <c r="E358" s="4">
        <v>5.3654999999999999</v>
      </c>
      <c r="F358" s="4" t="s">
        <v>375</v>
      </c>
      <c r="G358" s="4">
        <v>1</v>
      </c>
      <c r="H358" s="4" t="s">
        <v>491</v>
      </c>
      <c r="I358" s="4" t="s">
        <v>377</v>
      </c>
      <c r="J358" s="4" t="s">
        <v>378</v>
      </c>
      <c r="K358" s="4" t="s">
        <v>379</v>
      </c>
      <c r="L358" s="16" t="s">
        <v>380</v>
      </c>
    </row>
    <row r="359" spans="1:12" ht="15.75">
      <c r="A359" s="4" t="s">
        <v>117</v>
      </c>
      <c r="B359" s="4">
        <v>2019</v>
      </c>
      <c r="C359" s="4" t="s">
        <v>199</v>
      </c>
      <c r="D359" s="4" t="s">
        <v>381</v>
      </c>
      <c r="E359" s="4">
        <v>6.2376250000000004</v>
      </c>
      <c r="F359" s="4" t="s">
        <v>375</v>
      </c>
      <c r="G359" s="4">
        <v>1</v>
      </c>
      <c r="H359" s="4" t="s">
        <v>491</v>
      </c>
      <c r="I359" s="4" t="s">
        <v>377</v>
      </c>
      <c r="J359" s="4" t="s">
        <v>378</v>
      </c>
      <c r="K359" s="4" t="s">
        <v>379</v>
      </c>
      <c r="L359" s="16" t="s">
        <v>382</v>
      </c>
    </row>
    <row r="360" spans="1:12" ht="15.75">
      <c r="A360" s="4" t="s">
        <v>117</v>
      </c>
      <c r="B360" s="4">
        <v>2019</v>
      </c>
      <c r="C360" s="4" t="s">
        <v>199</v>
      </c>
      <c r="D360" s="4" t="s">
        <v>383</v>
      </c>
      <c r="E360" s="4">
        <v>0.97031199999999995</v>
      </c>
      <c r="F360" s="4" t="s">
        <v>384</v>
      </c>
      <c r="G360" s="4">
        <v>1</v>
      </c>
      <c r="H360" s="4" t="s">
        <v>492</v>
      </c>
      <c r="I360" s="4" t="s">
        <v>377</v>
      </c>
      <c r="J360" s="4" t="s">
        <v>378</v>
      </c>
      <c r="K360" s="4" t="s">
        <v>379</v>
      </c>
      <c r="L360" s="16" t="s">
        <v>380</v>
      </c>
    </row>
    <row r="361" spans="1:12" ht="15.75">
      <c r="A361" s="4" t="s">
        <v>117</v>
      </c>
      <c r="B361" s="4">
        <v>2019</v>
      </c>
      <c r="C361" s="4" t="s">
        <v>199</v>
      </c>
      <c r="D361" s="4" t="s">
        <v>386</v>
      </c>
      <c r="E361" s="4">
        <v>0.99173599999999995</v>
      </c>
      <c r="F361" s="4" t="s">
        <v>384</v>
      </c>
      <c r="G361" s="4">
        <v>1</v>
      </c>
      <c r="H361" s="4" t="s">
        <v>492</v>
      </c>
      <c r="I361" s="4" t="s">
        <v>377</v>
      </c>
      <c r="J361" s="4" t="s">
        <v>378</v>
      </c>
      <c r="K361" s="4" t="s">
        <v>379</v>
      </c>
      <c r="L361" s="16" t="s">
        <v>382</v>
      </c>
    </row>
    <row r="362" spans="1:12" ht="36">
      <c r="A362" s="4" t="s">
        <v>117</v>
      </c>
      <c r="B362" s="4">
        <v>2019</v>
      </c>
      <c r="C362" s="4" t="s">
        <v>199</v>
      </c>
      <c r="D362" s="4" t="s">
        <v>394</v>
      </c>
      <c r="E362" s="4">
        <v>67401429.902999997</v>
      </c>
      <c r="F362" s="4" t="s">
        <v>395</v>
      </c>
      <c r="G362" s="4">
        <v>1000</v>
      </c>
      <c r="H362" s="4" t="s">
        <v>396</v>
      </c>
      <c r="I362" s="4" t="s">
        <v>397</v>
      </c>
      <c r="J362" s="4" t="s">
        <v>135</v>
      </c>
      <c r="K362" s="4" t="s">
        <v>398</v>
      </c>
      <c r="L362" s="16" t="s">
        <v>399</v>
      </c>
    </row>
    <row r="363" spans="1:12" ht="36">
      <c r="A363" s="4" t="s">
        <v>117</v>
      </c>
      <c r="B363" s="4">
        <v>2019</v>
      </c>
      <c r="C363" s="4" t="s">
        <v>199</v>
      </c>
      <c r="D363" s="4" t="s">
        <v>400</v>
      </c>
      <c r="E363" s="4">
        <v>25250.2</v>
      </c>
      <c r="F363" s="4" t="s">
        <v>401</v>
      </c>
      <c r="G363" s="4">
        <v>1</v>
      </c>
      <c r="H363" s="4" t="s">
        <v>402</v>
      </c>
      <c r="I363" s="4" t="s">
        <v>403</v>
      </c>
      <c r="J363" s="4" t="s">
        <v>135</v>
      </c>
      <c r="K363" s="4" t="s">
        <v>404</v>
      </c>
      <c r="L363" s="16" t="s">
        <v>399</v>
      </c>
    </row>
    <row r="364" spans="1:12" ht="15.75">
      <c r="A364" s="4" t="s">
        <v>117</v>
      </c>
      <c r="B364" s="4">
        <v>2019</v>
      </c>
      <c r="C364" s="4" t="s">
        <v>199</v>
      </c>
      <c r="D364" s="4" t="s">
        <v>445</v>
      </c>
      <c r="E364" s="4">
        <v>2669342</v>
      </c>
      <c r="F364" s="4" t="s">
        <v>446</v>
      </c>
      <c r="G364" s="4">
        <v>1</v>
      </c>
      <c r="H364" s="4" t="s">
        <v>447</v>
      </c>
      <c r="I364" s="4" t="s">
        <v>448</v>
      </c>
      <c r="J364" s="4" t="s">
        <v>449</v>
      </c>
      <c r="K364" s="4" t="s">
        <v>450</v>
      </c>
      <c r="L364" s="16" t="s">
        <v>451</v>
      </c>
    </row>
    <row r="365" spans="1:12" ht="15.75">
      <c r="A365" s="4" t="s">
        <v>117</v>
      </c>
      <c r="B365" s="4">
        <v>2019</v>
      </c>
      <c r="C365" s="4" t="s">
        <v>199</v>
      </c>
      <c r="D365" s="4" t="s">
        <v>452</v>
      </c>
      <c r="E365" s="4">
        <v>6904910379.2200003</v>
      </c>
      <c r="F365" s="4" t="s">
        <v>417</v>
      </c>
      <c r="G365" s="4">
        <v>1</v>
      </c>
      <c r="H365" s="4" t="s">
        <v>453</v>
      </c>
      <c r="I365" s="4" t="s">
        <v>454</v>
      </c>
      <c r="J365" s="4" t="s">
        <v>135</v>
      </c>
      <c r="K365" s="4" t="s">
        <v>455</v>
      </c>
      <c r="L365" s="16" t="s">
        <v>489</v>
      </c>
    </row>
    <row r="366" spans="1:12" ht="24">
      <c r="A366" s="4" t="s">
        <v>117</v>
      </c>
      <c r="B366" s="4">
        <v>2019</v>
      </c>
      <c r="C366" s="4" t="s">
        <v>199</v>
      </c>
      <c r="D366" s="4" t="s">
        <v>456</v>
      </c>
      <c r="E366" s="4">
        <v>6886260792.2200003</v>
      </c>
      <c r="F366" s="4" t="s">
        <v>417</v>
      </c>
      <c r="G366" s="4">
        <v>1</v>
      </c>
      <c r="H366" s="4" t="s">
        <v>477</v>
      </c>
      <c r="I366" s="4" t="s">
        <v>478</v>
      </c>
      <c r="J366" s="4" t="s">
        <v>135</v>
      </c>
      <c r="K366" s="4" t="s">
        <v>459</v>
      </c>
      <c r="L366" s="16" t="s">
        <v>489</v>
      </c>
    </row>
    <row r="367" spans="1:12" ht="24">
      <c r="A367" s="4" t="s">
        <v>117</v>
      </c>
      <c r="B367" s="4">
        <v>2019</v>
      </c>
      <c r="C367" s="4" t="s">
        <v>199</v>
      </c>
      <c r="D367" s="4" t="s">
        <v>460</v>
      </c>
      <c r="E367" s="4">
        <v>8558992046.2299995</v>
      </c>
      <c r="F367" s="4" t="s">
        <v>417</v>
      </c>
      <c r="G367" s="4">
        <v>1</v>
      </c>
      <c r="H367" s="4" t="s">
        <v>493</v>
      </c>
      <c r="I367" s="4" t="s">
        <v>430</v>
      </c>
      <c r="J367" s="4" t="s">
        <v>135</v>
      </c>
      <c r="K367" s="4" t="s">
        <v>462</v>
      </c>
      <c r="L367" s="16" t="s">
        <v>488</v>
      </c>
    </row>
    <row r="368" spans="1:12" ht="36">
      <c r="A368" s="4" t="s">
        <v>117</v>
      </c>
      <c r="B368" s="4">
        <v>2019</v>
      </c>
      <c r="C368" s="4" t="s">
        <v>199</v>
      </c>
      <c r="D368" s="4" t="s">
        <v>463</v>
      </c>
      <c r="E368" s="4">
        <v>2313452603.0700002</v>
      </c>
      <c r="F368" s="4" t="s">
        <v>417</v>
      </c>
      <c r="G368" s="4">
        <v>1</v>
      </c>
      <c r="H368" s="4" t="s">
        <v>484</v>
      </c>
      <c r="I368" s="4" t="s">
        <v>485</v>
      </c>
      <c r="J368" s="4" t="s">
        <v>135</v>
      </c>
      <c r="K368" s="4" t="s">
        <v>466</v>
      </c>
      <c r="L368" s="16" t="s">
        <v>488</v>
      </c>
    </row>
    <row r="369" spans="1:12" ht="36">
      <c r="A369" s="4" t="s">
        <v>117</v>
      </c>
      <c r="B369" s="4">
        <v>2019</v>
      </c>
      <c r="C369" s="4" t="s">
        <v>199</v>
      </c>
      <c r="D369" s="4" t="s">
        <v>467</v>
      </c>
      <c r="E369" s="4">
        <v>1444476773.8399999</v>
      </c>
      <c r="F369" s="4" t="s">
        <v>417</v>
      </c>
      <c r="G369" s="4">
        <v>1</v>
      </c>
      <c r="H369" s="4" t="s">
        <v>486</v>
      </c>
      <c r="I369" s="4" t="s">
        <v>487</v>
      </c>
      <c r="J369" s="4" t="s">
        <v>135</v>
      </c>
      <c r="K369" s="4" t="s">
        <v>466</v>
      </c>
      <c r="L369" s="16" t="s">
        <v>488</v>
      </c>
    </row>
    <row r="370" spans="1:12" ht="24">
      <c r="A370" s="4" t="s">
        <v>117</v>
      </c>
      <c r="B370" s="4">
        <v>2020</v>
      </c>
      <c r="C370" s="4" t="s">
        <v>202</v>
      </c>
      <c r="D370" s="4" t="s">
        <v>416</v>
      </c>
      <c r="E370" s="4">
        <v>1941207316.1700001</v>
      </c>
      <c r="F370" s="4" t="s">
        <v>417</v>
      </c>
      <c r="G370" s="4">
        <v>1</v>
      </c>
      <c r="H370" s="4" t="s">
        <v>479</v>
      </c>
      <c r="I370" s="4" t="s">
        <v>480</v>
      </c>
      <c r="J370" s="4" t="s">
        <v>135</v>
      </c>
      <c r="K370" s="4" t="s">
        <v>420</v>
      </c>
      <c r="L370" s="16" t="s">
        <v>494</v>
      </c>
    </row>
    <row r="371" spans="1:12" ht="24">
      <c r="A371" s="4" t="s">
        <v>117</v>
      </c>
      <c r="B371" s="4">
        <v>2020</v>
      </c>
      <c r="C371" s="4" t="s">
        <v>202</v>
      </c>
      <c r="D371" s="4" t="s">
        <v>422</v>
      </c>
      <c r="E371" s="4">
        <v>46.03</v>
      </c>
      <c r="F371" s="4" t="s">
        <v>423</v>
      </c>
      <c r="G371" s="4">
        <v>1</v>
      </c>
      <c r="H371" s="4" t="s">
        <v>495</v>
      </c>
      <c r="I371" s="4" t="s">
        <v>425</v>
      </c>
      <c r="J371" s="4" t="s">
        <v>135</v>
      </c>
      <c r="K371" s="4" t="s">
        <v>426</v>
      </c>
      <c r="L371" s="16" t="s">
        <v>496</v>
      </c>
    </row>
    <row r="372" spans="1:12" ht="24">
      <c r="A372" s="4" t="s">
        <v>117</v>
      </c>
      <c r="B372" s="4">
        <v>2020</v>
      </c>
      <c r="C372" s="4" t="s">
        <v>202</v>
      </c>
      <c r="D372" s="4" t="s">
        <v>428</v>
      </c>
      <c r="E372" s="4">
        <v>439247886.25999999</v>
      </c>
      <c r="F372" s="4" t="s">
        <v>417</v>
      </c>
      <c r="G372" s="4">
        <v>1</v>
      </c>
      <c r="H372" s="4" t="s">
        <v>429</v>
      </c>
      <c r="I372" s="4" t="s">
        <v>430</v>
      </c>
      <c r="J372" s="4" t="s">
        <v>431</v>
      </c>
      <c r="K372" s="4" t="s">
        <v>432</v>
      </c>
      <c r="L372" s="16" t="s">
        <v>494</v>
      </c>
    </row>
    <row r="373" spans="1:12" ht="15.75">
      <c r="A373" s="4" t="s">
        <v>117</v>
      </c>
      <c r="B373" s="4">
        <v>2020</v>
      </c>
      <c r="C373" s="4" t="s">
        <v>202</v>
      </c>
      <c r="D373" s="4" t="s">
        <v>433</v>
      </c>
      <c r="E373" s="4">
        <v>9034193166.7600002</v>
      </c>
      <c r="F373" s="4" t="s">
        <v>417</v>
      </c>
      <c r="G373" s="4">
        <v>1</v>
      </c>
      <c r="H373" s="4" t="s">
        <v>434</v>
      </c>
      <c r="I373" s="4" t="s">
        <v>435</v>
      </c>
      <c r="J373" s="4" t="s">
        <v>135</v>
      </c>
      <c r="K373" s="4" t="s">
        <v>436</v>
      </c>
      <c r="L373" s="16" t="s">
        <v>497</v>
      </c>
    </row>
    <row r="374" spans="1:12" ht="15.75">
      <c r="A374" s="4" t="s">
        <v>117</v>
      </c>
      <c r="B374" s="4">
        <v>2020</v>
      </c>
      <c r="C374" s="4" t="s">
        <v>202</v>
      </c>
      <c r="D374" s="4" t="s">
        <v>438</v>
      </c>
      <c r="E374" s="4">
        <v>8648435578.1200008</v>
      </c>
      <c r="F374" s="4" t="s">
        <v>417</v>
      </c>
      <c r="G374" s="4">
        <v>1</v>
      </c>
      <c r="H374" s="4" t="s">
        <v>439</v>
      </c>
      <c r="I374" s="4" t="s">
        <v>435</v>
      </c>
      <c r="J374" s="4" t="s">
        <v>135</v>
      </c>
      <c r="K374" s="4" t="s">
        <v>436</v>
      </c>
      <c r="L374" s="16" t="s">
        <v>497</v>
      </c>
    </row>
    <row r="375" spans="1:12" ht="15.75">
      <c r="A375" s="4" t="s">
        <v>117</v>
      </c>
      <c r="B375" s="4">
        <v>2020</v>
      </c>
      <c r="C375" s="4" t="s">
        <v>202</v>
      </c>
      <c r="D375" s="4" t="s">
        <v>440</v>
      </c>
      <c r="E375" s="4">
        <v>8619113460.1200008</v>
      </c>
      <c r="F375" s="4" t="s">
        <v>417</v>
      </c>
      <c r="G375" s="4">
        <v>1</v>
      </c>
      <c r="H375" s="4" t="s">
        <v>441</v>
      </c>
      <c r="I375" s="4" t="s">
        <v>435</v>
      </c>
      <c r="J375" s="4" t="s">
        <v>135</v>
      </c>
      <c r="K375" s="4" t="s">
        <v>436</v>
      </c>
      <c r="L375" s="16" t="s">
        <v>497</v>
      </c>
    </row>
    <row r="376" spans="1:12" ht="24">
      <c r="A376" s="4" t="s">
        <v>117</v>
      </c>
      <c r="B376" s="4">
        <v>2020</v>
      </c>
      <c r="C376" s="4" t="s">
        <v>202</v>
      </c>
      <c r="D376" s="4" t="s">
        <v>442</v>
      </c>
      <c r="E376" s="4">
        <v>3271584105.46</v>
      </c>
      <c r="F376" s="4" t="s">
        <v>417</v>
      </c>
      <c r="G376" s="4">
        <v>1</v>
      </c>
      <c r="H376" s="4" t="s">
        <v>498</v>
      </c>
      <c r="I376" s="4" t="s">
        <v>425</v>
      </c>
      <c r="J376" s="4" t="s">
        <v>135</v>
      </c>
      <c r="K376" s="4" t="s">
        <v>444</v>
      </c>
      <c r="L376" s="16" t="s">
        <v>496</v>
      </c>
    </row>
    <row r="377" spans="1:12" ht="36">
      <c r="A377" s="4" t="s">
        <v>117</v>
      </c>
      <c r="B377" s="4">
        <v>2020</v>
      </c>
      <c r="C377" s="4" t="s">
        <v>202</v>
      </c>
      <c r="D377" s="4" t="s">
        <v>394</v>
      </c>
      <c r="E377" s="4">
        <v>64821581.710000001</v>
      </c>
      <c r="F377" s="4" t="s">
        <v>395</v>
      </c>
      <c r="G377" s="4">
        <v>1000</v>
      </c>
      <c r="H377" s="4" t="s">
        <v>396</v>
      </c>
      <c r="I377" s="4" t="s">
        <v>397</v>
      </c>
      <c r="J377" s="4" t="s">
        <v>135</v>
      </c>
      <c r="K377" s="4" t="s">
        <v>398</v>
      </c>
      <c r="L377" s="16" t="s">
        <v>399</v>
      </c>
    </row>
    <row r="378" spans="1:12" ht="36">
      <c r="A378" s="4" t="s">
        <v>117</v>
      </c>
      <c r="B378" s="4">
        <v>2020</v>
      </c>
      <c r="C378" s="4" t="s">
        <v>202</v>
      </c>
      <c r="D378" s="4" t="s">
        <v>400</v>
      </c>
      <c r="E378" s="4">
        <v>24127.63</v>
      </c>
      <c r="F378" s="4" t="s">
        <v>401</v>
      </c>
      <c r="G378" s="4">
        <v>1</v>
      </c>
      <c r="H378" s="4" t="s">
        <v>402</v>
      </c>
      <c r="I378" s="4" t="s">
        <v>403</v>
      </c>
      <c r="J378" s="4" t="s">
        <v>135</v>
      </c>
      <c r="K378" s="4" t="s">
        <v>404</v>
      </c>
      <c r="L378" s="16" t="s">
        <v>399</v>
      </c>
    </row>
    <row r="379" spans="1:12" ht="15.75">
      <c r="A379" s="4" t="s">
        <v>117</v>
      </c>
      <c r="B379" s="4">
        <v>2020</v>
      </c>
      <c r="C379" s="4" t="s">
        <v>202</v>
      </c>
      <c r="D379" s="4" t="s">
        <v>445</v>
      </c>
      <c r="E379" s="4">
        <v>2686612</v>
      </c>
      <c r="F379" s="4" t="s">
        <v>446</v>
      </c>
      <c r="G379" s="4">
        <v>1</v>
      </c>
      <c r="H379" s="4" t="s">
        <v>447</v>
      </c>
      <c r="I379" s="4" t="s">
        <v>448</v>
      </c>
      <c r="J379" s="4" t="s">
        <v>449</v>
      </c>
      <c r="K379" s="4" t="s">
        <v>450</v>
      </c>
      <c r="L379" s="16" t="s">
        <v>451</v>
      </c>
    </row>
    <row r="380" spans="1:12" ht="15.75">
      <c r="A380" s="4" t="s">
        <v>117</v>
      </c>
      <c r="B380" s="4">
        <v>2020</v>
      </c>
      <c r="C380" s="4" t="s">
        <v>202</v>
      </c>
      <c r="D380" s="4" t="s">
        <v>452</v>
      </c>
      <c r="E380" s="4">
        <v>7109305652</v>
      </c>
      <c r="F380" s="4" t="s">
        <v>417</v>
      </c>
      <c r="G380" s="4">
        <v>1</v>
      </c>
      <c r="H380" s="4" t="s">
        <v>453</v>
      </c>
      <c r="I380" s="4" t="s">
        <v>454</v>
      </c>
      <c r="J380" s="4" t="s">
        <v>135</v>
      </c>
      <c r="K380" s="4" t="s">
        <v>455</v>
      </c>
      <c r="L380" s="16" t="s">
        <v>496</v>
      </c>
    </row>
    <row r="381" spans="1:12" ht="36">
      <c r="A381" s="4" t="s">
        <v>117</v>
      </c>
      <c r="B381" s="4">
        <v>2020</v>
      </c>
      <c r="C381" s="4" t="s">
        <v>202</v>
      </c>
      <c r="D381" s="4" t="s">
        <v>456</v>
      </c>
      <c r="E381" s="4">
        <v>7107305652</v>
      </c>
      <c r="F381" s="4" t="s">
        <v>417</v>
      </c>
      <c r="G381" s="4">
        <v>1</v>
      </c>
      <c r="H381" s="4" t="s">
        <v>499</v>
      </c>
      <c r="I381" s="4" t="s">
        <v>478</v>
      </c>
      <c r="J381" s="4" t="s">
        <v>135</v>
      </c>
      <c r="K381" s="4" t="s">
        <v>459</v>
      </c>
      <c r="L381" s="16" t="s">
        <v>496</v>
      </c>
    </row>
    <row r="382" spans="1:12" ht="24">
      <c r="A382" s="4" t="s">
        <v>117</v>
      </c>
      <c r="B382" s="4">
        <v>2020</v>
      </c>
      <c r="C382" s="4" t="s">
        <v>202</v>
      </c>
      <c r="D382" s="4" t="s">
        <v>460</v>
      </c>
      <c r="E382" s="4">
        <v>8720758081.8600006</v>
      </c>
      <c r="F382" s="4" t="s">
        <v>417</v>
      </c>
      <c r="G382" s="4">
        <v>1</v>
      </c>
      <c r="H382" s="4" t="s">
        <v>493</v>
      </c>
      <c r="I382" s="4" t="s">
        <v>430</v>
      </c>
      <c r="J382" s="4" t="s">
        <v>135</v>
      </c>
      <c r="K382" s="4" t="s">
        <v>462</v>
      </c>
      <c r="L382" s="16" t="s">
        <v>494</v>
      </c>
    </row>
    <row r="383" spans="1:12" ht="36">
      <c r="A383" s="4" t="s">
        <v>117</v>
      </c>
      <c r="B383" s="4">
        <v>2020</v>
      </c>
      <c r="C383" s="4" t="s">
        <v>202</v>
      </c>
      <c r="D383" s="4" t="s">
        <v>463</v>
      </c>
      <c r="E383" s="4">
        <v>2974401374.4299998</v>
      </c>
      <c r="F383" s="4" t="s">
        <v>417</v>
      </c>
      <c r="G383" s="4">
        <v>1</v>
      </c>
      <c r="H383" s="4" t="s">
        <v>484</v>
      </c>
      <c r="I383" s="4" t="s">
        <v>485</v>
      </c>
      <c r="J383" s="4" t="s">
        <v>135</v>
      </c>
      <c r="K383" s="4" t="s">
        <v>466</v>
      </c>
      <c r="L383" s="16" t="s">
        <v>494</v>
      </c>
    </row>
    <row r="384" spans="1:12" ht="36">
      <c r="A384" s="4" t="s">
        <v>117</v>
      </c>
      <c r="B384" s="4">
        <v>2020</v>
      </c>
      <c r="C384" s="4" t="s">
        <v>202</v>
      </c>
      <c r="D384" s="4" t="s">
        <v>467</v>
      </c>
      <c r="E384" s="4">
        <v>1406201350.9000001</v>
      </c>
      <c r="F384" s="4" t="s">
        <v>417</v>
      </c>
      <c r="G384" s="4">
        <v>1</v>
      </c>
      <c r="H384" s="4" t="s">
        <v>486</v>
      </c>
      <c r="I384" s="4" t="s">
        <v>487</v>
      </c>
      <c r="J384" s="4" t="s">
        <v>135</v>
      </c>
      <c r="K384" s="4" t="s">
        <v>466</v>
      </c>
      <c r="L384" s="16" t="s">
        <v>494</v>
      </c>
    </row>
    <row r="385" spans="1:12" ht="24">
      <c r="A385" s="4" t="s">
        <v>117</v>
      </c>
      <c r="B385" s="4">
        <v>2021</v>
      </c>
      <c r="C385" s="4" t="s">
        <v>205</v>
      </c>
      <c r="D385" s="4" t="s">
        <v>416</v>
      </c>
      <c r="E385" s="4">
        <v>2311145256.8600001</v>
      </c>
      <c r="F385" s="4" t="s">
        <v>417</v>
      </c>
      <c r="G385" s="4">
        <v>1</v>
      </c>
      <c r="H385" s="4" t="s">
        <v>479</v>
      </c>
      <c r="I385" s="4" t="s">
        <v>480</v>
      </c>
      <c r="J385" s="4" t="s">
        <v>135</v>
      </c>
      <c r="K385" s="4" t="s">
        <v>420</v>
      </c>
      <c r="L385" s="16" t="s">
        <v>500</v>
      </c>
    </row>
    <row r="386" spans="1:12" ht="24">
      <c r="A386" s="4" t="s">
        <v>117</v>
      </c>
      <c r="B386" s="4">
        <v>2021</v>
      </c>
      <c r="C386" s="4" t="s">
        <v>205</v>
      </c>
      <c r="D386" s="4" t="s">
        <v>422</v>
      </c>
      <c r="E386" s="4">
        <v>45.88</v>
      </c>
      <c r="F386" s="4" t="s">
        <v>423</v>
      </c>
      <c r="G386" s="4">
        <v>1</v>
      </c>
      <c r="H386" s="4" t="s">
        <v>495</v>
      </c>
      <c r="I386" s="4" t="s">
        <v>425</v>
      </c>
      <c r="J386" s="4" t="s">
        <v>135</v>
      </c>
      <c r="K386" s="4" t="s">
        <v>426</v>
      </c>
      <c r="L386" s="16" t="s">
        <v>501</v>
      </c>
    </row>
    <row r="387" spans="1:12" ht="24">
      <c r="A387" s="4" t="s">
        <v>117</v>
      </c>
      <c r="B387" s="4">
        <v>2021</v>
      </c>
      <c r="C387" s="4" t="s">
        <v>205</v>
      </c>
      <c r="D387" s="4" t="s">
        <v>428</v>
      </c>
      <c r="E387" s="4">
        <v>545549337.63</v>
      </c>
      <c r="F387" s="4" t="s">
        <v>417</v>
      </c>
      <c r="G387" s="4">
        <v>1</v>
      </c>
      <c r="H387" s="4" t="s">
        <v>429</v>
      </c>
      <c r="I387" s="4" t="s">
        <v>430</v>
      </c>
      <c r="J387" s="4" t="s">
        <v>431</v>
      </c>
      <c r="K387" s="4" t="s">
        <v>432</v>
      </c>
      <c r="L387" s="16" t="s">
        <v>500</v>
      </c>
    </row>
    <row r="388" spans="1:12" ht="15.75">
      <c r="A388" s="4" t="s">
        <v>117</v>
      </c>
      <c r="B388" s="4">
        <v>2021</v>
      </c>
      <c r="C388" s="4" t="s">
        <v>205</v>
      </c>
      <c r="D388" s="4" t="s">
        <v>433</v>
      </c>
      <c r="E388" s="4">
        <v>9207122884.1200008</v>
      </c>
      <c r="F388" s="4" t="s">
        <v>417</v>
      </c>
      <c r="G388" s="4">
        <v>1</v>
      </c>
      <c r="H388" s="4" t="s">
        <v>434</v>
      </c>
      <c r="I388" s="4" t="s">
        <v>435</v>
      </c>
      <c r="J388" s="4" t="s">
        <v>135</v>
      </c>
      <c r="K388" s="4" t="s">
        <v>436</v>
      </c>
      <c r="L388" s="16" t="s">
        <v>502</v>
      </c>
    </row>
    <row r="389" spans="1:12" ht="15.75">
      <c r="A389" s="4" t="s">
        <v>117</v>
      </c>
      <c r="B389" s="4">
        <v>2021</v>
      </c>
      <c r="C389" s="4" t="s">
        <v>205</v>
      </c>
      <c r="D389" s="4" t="s">
        <v>438</v>
      </c>
      <c r="E389" s="4">
        <v>8708986447.2800007</v>
      </c>
      <c r="F389" s="4" t="s">
        <v>417</v>
      </c>
      <c r="G389" s="4">
        <v>1</v>
      </c>
      <c r="H389" s="4" t="s">
        <v>439</v>
      </c>
      <c r="I389" s="4" t="s">
        <v>435</v>
      </c>
      <c r="J389" s="4" t="s">
        <v>135</v>
      </c>
      <c r="K389" s="4" t="s">
        <v>436</v>
      </c>
      <c r="L389" s="16" t="s">
        <v>502</v>
      </c>
    </row>
    <row r="390" spans="1:12" ht="15.75">
      <c r="A390" s="4" t="s">
        <v>117</v>
      </c>
      <c r="B390" s="4">
        <v>2021</v>
      </c>
      <c r="C390" s="4" t="s">
        <v>205</v>
      </c>
      <c r="D390" s="4" t="s">
        <v>440</v>
      </c>
      <c r="E390" s="4">
        <v>8629266990.1200008</v>
      </c>
      <c r="F390" s="4" t="s">
        <v>417</v>
      </c>
      <c r="G390" s="4">
        <v>1</v>
      </c>
      <c r="H390" s="4" t="s">
        <v>441</v>
      </c>
      <c r="I390" s="4" t="s">
        <v>435</v>
      </c>
      <c r="J390" s="4" t="s">
        <v>135</v>
      </c>
      <c r="K390" s="4" t="s">
        <v>436</v>
      </c>
      <c r="L390" s="16" t="s">
        <v>502</v>
      </c>
    </row>
    <row r="391" spans="1:12" ht="24">
      <c r="A391" s="4" t="s">
        <v>117</v>
      </c>
      <c r="B391" s="4">
        <v>2021</v>
      </c>
      <c r="C391" s="4" t="s">
        <v>205</v>
      </c>
      <c r="D391" s="4" t="s">
        <v>442</v>
      </c>
      <c r="E391" s="4">
        <v>3530530434.7399998</v>
      </c>
      <c r="F391" s="4" t="s">
        <v>417</v>
      </c>
      <c r="G391" s="4">
        <v>1</v>
      </c>
      <c r="H391" s="4" t="s">
        <v>498</v>
      </c>
      <c r="I391" s="4" t="s">
        <v>425</v>
      </c>
      <c r="J391" s="4" t="s">
        <v>135</v>
      </c>
      <c r="K391" s="4" t="s">
        <v>444</v>
      </c>
      <c r="L391" s="16" t="s">
        <v>501</v>
      </c>
    </row>
    <row r="392" spans="1:12" ht="15.75">
      <c r="A392" s="4" t="s">
        <v>117</v>
      </c>
      <c r="B392" s="4">
        <v>2021</v>
      </c>
      <c r="C392" s="4" t="s">
        <v>205</v>
      </c>
      <c r="D392" s="4" t="s">
        <v>374</v>
      </c>
      <c r="E392" s="4">
        <v>5.2096669999999996</v>
      </c>
      <c r="F392" s="4" t="s">
        <v>375</v>
      </c>
      <c r="G392" s="4">
        <v>1</v>
      </c>
      <c r="H392" s="4" t="s">
        <v>503</v>
      </c>
      <c r="I392" s="4" t="s">
        <v>377</v>
      </c>
      <c r="J392" s="4" t="s">
        <v>378</v>
      </c>
      <c r="K392" s="4" t="s">
        <v>379</v>
      </c>
      <c r="L392" s="16" t="s">
        <v>380</v>
      </c>
    </row>
    <row r="393" spans="1:12" ht="15.75">
      <c r="A393" s="4" t="s">
        <v>117</v>
      </c>
      <c r="B393" s="4">
        <v>2021</v>
      </c>
      <c r="C393" s="4" t="s">
        <v>205</v>
      </c>
      <c r="D393" s="4" t="s">
        <v>381</v>
      </c>
      <c r="E393" s="4">
        <v>5.8495140000000001</v>
      </c>
      <c r="F393" s="4" t="s">
        <v>375</v>
      </c>
      <c r="G393" s="4">
        <v>1</v>
      </c>
      <c r="H393" s="4" t="s">
        <v>503</v>
      </c>
      <c r="I393" s="4" t="s">
        <v>377</v>
      </c>
      <c r="J393" s="4" t="s">
        <v>378</v>
      </c>
      <c r="K393" s="4" t="s">
        <v>379</v>
      </c>
      <c r="L393" s="16" t="s">
        <v>382</v>
      </c>
    </row>
    <row r="394" spans="1:12" ht="15.75">
      <c r="A394" s="4" t="s">
        <v>117</v>
      </c>
      <c r="B394" s="4">
        <v>2021</v>
      </c>
      <c r="C394" s="4" t="s">
        <v>205</v>
      </c>
      <c r="D394" s="4" t="s">
        <v>383</v>
      </c>
      <c r="E394" s="4">
        <v>0.99824999999999997</v>
      </c>
      <c r="F394" s="4" t="s">
        <v>384</v>
      </c>
      <c r="G394" s="4">
        <v>1</v>
      </c>
      <c r="H394" s="4" t="s">
        <v>504</v>
      </c>
      <c r="I394" s="4" t="s">
        <v>377</v>
      </c>
      <c r="J394" s="4" t="s">
        <v>378</v>
      </c>
      <c r="K394" s="4" t="s">
        <v>379</v>
      </c>
      <c r="L394" s="16" t="s">
        <v>380</v>
      </c>
    </row>
    <row r="395" spans="1:12" ht="15.75">
      <c r="A395" s="4" t="s">
        <v>117</v>
      </c>
      <c r="B395" s="4">
        <v>2021</v>
      </c>
      <c r="C395" s="4" t="s">
        <v>205</v>
      </c>
      <c r="D395" s="4" t="s">
        <v>386</v>
      </c>
      <c r="E395" s="4">
        <v>0.99919999999999998</v>
      </c>
      <c r="F395" s="4" t="s">
        <v>384</v>
      </c>
      <c r="G395" s="4">
        <v>1</v>
      </c>
      <c r="H395" s="4" t="s">
        <v>504</v>
      </c>
      <c r="I395" s="4" t="s">
        <v>377</v>
      </c>
      <c r="J395" s="4" t="s">
        <v>378</v>
      </c>
      <c r="K395" s="4" t="s">
        <v>379</v>
      </c>
      <c r="L395" s="16" t="s">
        <v>382</v>
      </c>
    </row>
    <row r="396" spans="1:12" ht="36">
      <c r="A396" s="4" t="s">
        <v>117</v>
      </c>
      <c r="B396" s="4">
        <v>2021</v>
      </c>
      <c r="C396" s="4" t="s">
        <v>205</v>
      </c>
      <c r="D396" s="4" t="s">
        <v>394</v>
      </c>
      <c r="E396" s="4">
        <v>73437738.923999995</v>
      </c>
      <c r="F396" s="4" t="s">
        <v>395</v>
      </c>
      <c r="G396" s="4">
        <v>1000</v>
      </c>
      <c r="H396" s="4" t="s">
        <v>396</v>
      </c>
      <c r="I396" s="4" t="s">
        <v>397</v>
      </c>
      <c r="J396" s="4" t="s">
        <v>135</v>
      </c>
      <c r="K396" s="4" t="s">
        <v>398</v>
      </c>
      <c r="L396" s="16" t="s">
        <v>399</v>
      </c>
    </row>
    <row r="397" spans="1:12" ht="36">
      <c r="A397" s="4" t="s">
        <v>117</v>
      </c>
      <c r="B397" s="4">
        <v>2021</v>
      </c>
      <c r="C397" s="4" t="s">
        <v>205</v>
      </c>
      <c r="D397" s="4" t="s">
        <v>400</v>
      </c>
      <c r="E397" s="4">
        <v>27165.05</v>
      </c>
      <c r="F397" s="4" t="s">
        <v>401</v>
      </c>
      <c r="G397" s="4">
        <v>1</v>
      </c>
      <c r="H397" s="4" t="s">
        <v>402</v>
      </c>
      <c r="I397" s="4" t="s">
        <v>403</v>
      </c>
      <c r="J397" s="4" t="s">
        <v>135</v>
      </c>
      <c r="K397" s="4" t="s">
        <v>404</v>
      </c>
      <c r="L397" s="16" t="s">
        <v>399</v>
      </c>
    </row>
    <row r="398" spans="1:12" ht="15.75">
      <c r="A398" s="4" t="s">
        <v>117</v>
      </c>
      <c r="B398" s="4">
        <v>2021</v>
      </c>
      <c r="C398" s="4" t="s">
        <v>205</v>
      </c>
      <c r="D398" s="4" t="s">
        <v>445</v>
      </c>
      <c r="E398" s="4">
        <v>2703391</v>
      </c>
      <c r="F398" s="4" t="s">
        <v>446</v>
      </c>
      <c r="G398" s="4">
        <v>1</v>
      </c>
      <c r="H398" s="4" t="s">
        <v>447</v>
      </c>
      <c r="I398" s="4" t="s">
        <v>448</v>
      </c>
      <c r="J398" s="4" t="s">
        <v>449</v>
      </c>
      <c r="K398" s="4" t="s">
        <v>450</v>
      </c>
      <c r="L398" s="16" t="s">
        <v>451</v>
      </c>
    </row>
    <row r="399" spans="1:12" ht="15.75">
      <c r="A399" s="4" t="s">
        <v>117</v>
      </c>
      <c r="B399" s="4">
        <v>2021</v>
      </c>
      <c r="C399" s="4" t="s">
        <v>205</v>
      </c>
      <c r="D399" s="4" t="s">
        <v>452</v>
      </c>
      <c r="E399" s="4">
        <v>7702279867.5699997</v>
      </c>
      <c r="F399" s="4" t="s">
        <v>417</v>
      </c>
      <c r="G399" s="4">
        <v>1</v>
      </c>
      <c r="H399" s="4" t="s">
        <v>453</v>
      </c>
      <c r="I399" s="4" t="s">
        <v>454</v>
      </c>
      <c r="J399" s="4" t="s">
        <v>135</v>
      </c>
      <c r="K399" s="4" t="s">
        <v>455</v>
      </c>
      <c r="L399" s="16" t="s">
        <v>501</v>
      </c>
    </row>
    <row r="400" spans="1:12" ht="36">
      <c r="A400" s="4" t="s">
        <v>117</v>
      </c>
      <c r="B400" s="4">
        <v>2021</v>
      </c>
      <c r="C400" s="4" t="s">
        <v>205</v>
      </c>
      <c r="D400" s="4" t="s">
        <v>456</v>
      </c>
      <c r="E400" s="4">
        <v>7695702250.96</v>
      </c>
      <c r="F400" s="4" t="s">
        <v>417</v>
      </c>
      <c r="G400" s="4">
        <v>1</v>
      </c>
      <c r="H400" s="4" t="s">
        <v>499</v>
      </c>
      <c r="I400" s="4" t="s">
        <v>478</v>
      </c>
      <c r="J400" s="4" t="s">
        <v>135</v>
      </c>
      <c r="K400" s="4" t="s">
        <v>459</v>
      </c>
      <c r="L400" s="16" t="s">
        <v>501</v>
      </c>
    </row>
    <row r="401" spans="1:12" ht="24">
      <c r="A401" s="4" t="s">
        <v>117</v>
      </c>
      <c r="B401" s="4">
        <v>2021</v>
      </c>
      <c r="C401" s="4" t="s">
        <v>205</v>
      </c>
      <c r="D401" s="4" t="s">
        <v>460</v>
      </c>
      <c r="E401" s="4">
        <v>9559438138.8199997</v>
      </c>
      <c r="F401" s="4" t="s">
        <v>417</v>
      </c>
      <c r="G401" s="4">
        <v>1</v>
      </c>
      <c r="H401" s="4" t="s">
        <v>493</v>
      </c>
      <c r="I401" s="4" t="s">
        <v>430</v>
      </c>
      <c r="J401" s="4" t="s">
        <v>135</v>
      </c>
      <c r="K401" s="4" t="s">
        <v>462</v>
      </c>
      <c r="L401" s="16" t="s">
        <v>500</v>
      </c>
    </row>
    <row r="402" spans="1:12" ht="36">
      <c r="A402" s="4" t="s">
        <v>117</v>
      </c>
      <c r="B402" s="4">
        <v>2021</v>
      </c>
      <c r="C402" s="4" t="s">
        <v>205</v>
      </c>
      <c r="D402" s="4" t="s">
        <v>463</v>
      </c>
      <c r="E402" s="4">
        <v>2815719373.4000001</v>
      </c>
      <c r="F402" s="4" t="s">
        <v>417</v>
      </c>
      <c r="G402" s="4">
        <v>1</v>
      </c>
      <c r="H402" s="4" t="s">
        <v>484</v>
      </c>
      <c r="I402" s="4" t="s">
        <v>485</v>
      </c>
      <c r="J402" s="4" t="s">
        <v>135</v>
      </c>
      <c r="K402" s="4" t="s">
        <v>466</v>
      </c>
      <c r="L402" s="16" t="s">
        <v>500</v>
      </c>
    </row>
    <row r="403" spans="1:12" ht="36">
      <c r="A403" s="4" t="s">
        <v>117</v>
      </c>
      <c r="B403" s="4">
        <v>2021</v>
      </c>
      <c r="C403" s="4" t="s">
        <v>205</v>
      </c>
      <c r="D403" s="4" t="s">
        <v>467</v>
      </c>
      <c r="E403" s="4">
        <v>1689961158.9300001</v>
      </c>
      <c r="F403" s="4" t="s">
        <v>417</v>
      </c>
      <c r="G403" s="4">
        <v>1</v>
      </c>
      <c r="H403" s="4" t="s">
        <v>486</v>
      </c>
      <c r="I403" s="4" t="s">
        <v>487</v>
      </c>
      <c r="J403" s="4" t="s">
        <v>135</v>
      </c>
      <c r="K403" s="4" t="s">
        <v>466</v>
      </c>
      <c r="L403" s="16" t="s">
        <v>500</v>
      </c>
    </row>
    <row r="404" spans="1:12" ht="24">
      <c r="A404" s="4" t="s">
        <v>117</v>
      </c>
      <c r="B404" s="4">
        <v>2022</v>
      </c>
      <c r="C404" s="4" t="s">
        <v>209</v>
      </c>
      <c r="D404" s="4" t="s">
        <v>416</v>
      </c>
      <c r="E404" s="4">
        <v>2701459898.1999998</v>
      </c>
      <c r="F404" s="4" t="s">
        <v>417</v>
      </c>
      <c r="G404" s="4">
        <v>1</v>
      </c>
      <c r="H404" s="4" t="s">
        <v>479</v>
      </c>
      <c r="I404" s="4" t="s">
        <v>480</v>
      </c>
      <c r="J404" s="4" t="s">
        <v>135</v>
      </c>
      <c r="K404" s="4" t="s">
        <v>420</v>
      </c>
      <c r="L404" s="16" t="s">
        <v>505</v>
      </c>
    </row>
    <row r="405" spans="1:12" ht="24">
      <c r="A405" s="4" t="s">
        <v>117</v>
      </c>
      <c r="B405" s="4">
        <v>2022</v>
      </c>
      <c r="C405" s="4" t="s">
        <v>209</v>
      </c>
      <c r="D405" s="4" t="s">
        <v>422</v>
      </c>
      <c r="E405" s="4">
        <v>49.34</v>
      </c>
      <c r="F405" s="4" t="s">
        <v>423</v>
      </c>
      <c r="G405" s="4">
        <v>1</v>
      </c>
      <c r="H405" s="4" t="s">
        <v>495</v>
      </c>
      <c r="I405" s="4" t="s">
        <v>425</v>
      </c>
      <c r="J405" s="4" t="s">
        <v>135</v>
      </c>
      <c r="K405" s="4" t="s">
        <v>426</v>
      </c>
      <c r="L405" s="16" t="s">
        <v>506</v>
      </c>
    </row>
    <row r="406" spans="1:12" ht="24">
      <c r="A406" s="4" t="s">
        <v>117</v>
      </c>
      <c r="B406" s="4">
        <v>2022</v>
      </c>
      <c r="C406" s="4" t="s">
        <v>209</v>
      </c>
      <c r="D406" s="4" t="s">
        <v>428</v>
      </c>
      <c r="E406" s="4">
        <v>591506828.88999999</v>
      </c>
      <c r="F406" s="4" t="s">
        <v>417</v>
      </c>
      <c r="G406" s="4">
        <v>1</v>
      </c>
      <c r="H406" s="4" t="s">
        <v>429</v>
      </c>
      <c r="I406" s="4" t="s">
        <v>430</v>
      </c>
      <c r="J406" s="4" t="s">
        <v>431</v>
      </c>
      <c r="K406" s="4" t="s">
        <v>432</v>
      </c>
      <c r="L406" s="16" t="s">
        <v>505</v>
      </c>
    </row>
    <row r="407" spans="1:12" ht="15.75">
      <c r="A407" s="4" t="s">
        <v>117</v>
      </c>
      <c r="B407" s="4">
        <v>2022</v>
      </c>
      <c r="C407" s="4" t="s">
        <v>209</v>
      </c>
      <c r="D407" s="4" t="s">
        <v>433</v>
      </c>
      <c r="E407" s="4">
        <v>10284558817.75</v>
      </c>
      <c r="F407" s="4" t="s">
        <v>417</v>
      </c>
      <c r="G407" s="4">
        <v>1</v>
      </c>
      <c r="H407" s="4" t="s">
        <v>434</v>
      </c>
      <c r="I407" s="4" t="s">
        <v>435</v>
      </c>
      <c r="J407" s="4" t="s">
        <v>135</v>
      </c>
      <c r="K407" s="4" t="s">
        <v>436</v>
      </c>
      <c r="L407" s="16" t="s">
        <v>507</v>
      </c>
    </row>
    <row r="408" spans="1:12" ht="15.75">
      <c r="A408" s="4" t="s">
        <v>117</v>
      </c>
      <c r="B408" s="4">
        <v>2022</v>
      </c>
      <c r="C408" s="4" t="s">
        <v>209</v>
      </c>
      <c r="D408" s="4" t="s">
        <v>438</v>
      </c>
      <c r="E408" s="4">
        <v>10130377840.290001</v>
      </c>
      <c r="F408" s="4" t="s">
        <v>417</v>
      </c>
      <c r="G408" s="4">
        <v>1</v>
      </c>
      <c r="H408" s="4" t="s">
        <v>439</v>
      </c>
      <c r="I408" s="4" t="s">
        <v>435</v>
      </c>
      <c r="J408" s="4" t="s">
        <v>135</v>
      </c>
      <c r="K408" s="4" t="s">
        <v>436</v>
      </c>
      <c r="L408" s="16" t="s">
        <v>507</v>
      </c>
    </row>
    <row r="409" spans="1:12" ht="15.75">
      <c r="A409" s="4" t="s">
        <v>117</v>
      </c>
      <c r="B409" s="4">
        <v>2022</v>
      </c>
      <c r="C409" s="4" t="s">
        <v>209</v>
      </c>
      <c r="D409" s="4" t="s">
        <v>440</v>
      </c>
      <c r="E409" s="4">
        <v>10031380300.6</v>
      </c>
      <c r="F409" s="4" t="s">
        <v>417</v>
      </c>
      <c r="G409" s="4">
        <v>1</v>
      </c>
      <c r="H409" s="4" t="s">
        <v>441</v>
      </c>
      <c r="I409" s="4" t="s">
        <v>435</v>
      </c>
      <c r="J409" s="4" t="s">
        <v>135</v>
      </c>
      <c r="K409" s="4" t="s">
        <v>436</v>
      </c>
      <c r="L409" s="16" t="s">
        <v>507</v>
      </c>
    </row>
    <row r="410" spans="1:12" ht="24">
      <c r="A410" s="4" t="s">
        <v>117</v>
      </c>
      <c r="B410" s="4">
        <v>2022</v>
      </c>
      <c r="C410" s="4" t="s">
        <v>209</v>
      </c>
      <c r="D410" s="4" t="s">
        <v>442</v>
      </c>
      <c r="E410" s="4">
        <v>4403839917.2600002</v>
      </c>
      <c r="F410" s="4" t="s">
        <v>417</v>
      </c>
      <c r="G410" s="4">
        <v>1</v>
      </c>
      <c r="H410" s="4" t="s">
        <v>498</v>
      </c>
      <c r="I410" s="4" t="s">
        <v>425</v>
      </c>
      <c r="J410" s="4" t="s">
        <v>135</v>
      </c>
      <c r="K410" s="4" t="s">
        <v>444</v>
      </c>
      <c r="L410" s="16" t="s">
        <v>506</v>
      </c>
    </row>
    <row r="411" spans="1:12" ht="36">
      <c r="A411" s="4" t="s">
        <v>117</v>
      </c>
      <c r="B411" s="4">
        <v>2022</v>
      </c>
      <c r="C411" s="4" t="s">
        <v>209</v>
      </c>
      <c r="D411" s="4" t="s">
        <v>394</v>
      </c>
      <c r="E411" s="4">
        <v>81362332.599999994</v>
      </c>
      <c r="F411" s="4" t="s">
        <v>395</v>
      </c>
      <c r="G411" s="4">
        <v>1000</v>
      </c>
      <c r="H411" s="4" t="s">
        <v>396</v>
      </c>
      <c r="I411" s="4" t="s">
        <v>397</v>
      </c>
      <c r="J411" s="4" t="s">
        <v>135</v>
      </c>
      <c r="K411" s="4" t="s">
        <v>398</v>
      </c>
      <c r="L411" s="16" t="s">
        <v>399</v>
      </c>
    </row>
    <row r="412" spans="1:12" ht="36">
      <c r="A412" s="4" t="s">
        <v>117</v>
      </c>
      <c r="B412" s="4">
        <v>2022</v>
      </c>
      <c r="C412" s="4" t="s">
        <v>209</v>
      </c>
      <c r="D412" s="4" t="s">
        <v>400</v>
      </c>
      <c r="E412" s="4">
        <v>33500.67</v>
      </c>
      <c r="F412" s="4" t="s">
        <v>401</v>
      </c>
      <c r="G412" s="4">
        <v>1</v>
      </c>
      <c r="H412" s="4" t="s">
        <v>402</v>
      </c>
      <c r="I412" s="4" t="s">
        <v>403</v>
      </c>
      <c r="J412" s="4" t="s">
        <v>135</v>
      </c>
      <c r="K412" s="4" t="s">
        <v>404</v>
      </c>
      <c r="L412" s="16" t="s">
        <v>399</v>
      </c>
    </row>
    <row r="413" spans="1:12" ht="15.75">
      <c r="A413" s="4" t="s">
        <v>117</v>
      </c>
      <c r="B413" s="4">
        <v>2022</v>
      </c>
      <c r="C413" s="4" t="s">
        <v>209</v>
      </c>
      <c r="D413" s="4" t="s">
        <v>445</v>
      </c>
      <c r="E413" s="4">
        <v>2428708</v>
      </c>
      <c r="F413" s="4" t="s">
        <v>446</v>
      </c>
      <c r="G413" s="4">
        <v>1</v>
      </c>
      <c r="H413" s="4" t="s">
        <v>508</v>
      </c>
      <c r="I413" s="4" t="s">
        <v>509</v>
      </c>
      <c r="J413" s="4" t="s">
        <v>510</v>
      </c>
      <c r="K413" s="4" t="s">
        <v>511</v>
      </c>
      <c r="L413" s="16" t="s">
        <v>512</v>
      </c>
    </row>
    <row r="414" spans="1:12" ht="15.75">
      <c r="A414" s="4" t="s">
        <v>117</v>
      </c>
      <c r="B414" s="4">
        <v>2022</v>
      </c>
      <c r="C414" s="4" t="s">
        <v>209</v>
      </c>
      <c r="D414" s="4" t="s">
        <v>452</v>
      </c>
      <c r="E414" s="4">
        <v>8930251958.4300003</v>
      </c>
      <c r="F414" s="4" t="s">
        <v>417</v>
      </c>
      <c r="G414" s="4">
        <v>1</v>
      </c>
      <c r="H414" s="4" t="s">
        <v>453</v>
      </c>
      <c r="I414" s="4" t="s">
        <v>454</v>
      </c>
      <c r="J414" s="4" t="s">
        <v>135</v>
      </c>
      <c r="K414" s="4" t="s">
        <v>455</v>
      </c>
      <c r="L414" s="16" t="s">
        <v>506</v>
      </c>
    </row>
    <row r="415" spans="1:12" ht="36">
      <c r="A415" s="4" t="s">
        <v>117</v>
      </c>
      <c r="B415" s="4">
        <v>2022</v>
      </c>
      <c r="C415" s="4" t="s">
        <v>209</v>
      </c>
      <c r="D415" s="4" t="s">
        <v>456</v>
      </c>
      <c r="E415" s="4">
        <v>8926329797.2900009</v>
      </c>
      <c r="F415" s="4" t="s">
        <v>417</v>
      </c>
      <c r="G415" s="4">
        <v>1</v>
      </c>
      <c r="H415" s="4" t="s">
        <v>499</v>
      </c>
      <c r="I415" s="4" t="s">
        <v>478</v>
      </c>
      <c r="J415" s="4" t="s">
        <v>135</v>
      </c>
      <c r="K415" s="4" t="s">
        <v>459</v>
      </c>
      <c r="L415" s="16" t="s">
        <v>506</v>
      </c>
    </row>
    <row r="416" spans="1:12" ht="24">
      <c r="A416" s="4" t="s">
        <v>117</v>
      </c>
      <c r="B416" s="4">
        <v>2022</v>
      </c>
      <c r="C416" s="4" t="s">
        <v>209</v>
      </c>
      <c r="D416" s="4" t="s">
        <v>460</v>
      </c>
      <c r="E416" s="4">
        <v>10984910400.719999</v>
      </c>
      <c r="F416" s="4" t="s">
        <v>417</v>
      </c>
      <c r="G416" s="4">
        <v>1</v>
      </c>
      <c r="H416" s="4" t="s">
        <v>493</v>
      </c>
      <c r="I416" s="4" t="s">
        <v>430</v>
      </c>
      <c r="J416" s="4" t="s">
        <v>135</v>
      </c>
      <c r="K416" s="4" t="s">
        <v>462</v>
      </c>
      <c r="L416" s="16" t="s">
        <v>505</v>
      </c>
    </row>
    <row r="417" spans="1:12" ht="36">
      <c r="A417" s="4" t="s">
        <v>117</v>
      </c>
      <c r="B417" s="4">
        <v>2022</v>
      </c>
      <c r="C417" s="4" t="s">
        <v>209</v>
      </c>
      <c r="D417" s="4" t="s">
        <v>463</v>
      </c>
      <c r="E417" s="4">
        <v>3279315956.1799998</v>
      </c>
      <c r="F417" s="4" t="s">
        <v>417</v>
      </c>
      <c r="G417" s="4">
        <v>1</v>
      </c>
      <c r="H417" s="4" t="s">
        <v>484</v>
      </c>
      <c r="I417" s="4" t="s">
        <v>485</v>
      </c>
      <c r="J417" s="4" t="s">
        <v>135</v>
      </c>
      <c r="K417" s="4" t="s">
        <v>466</v>
      </c>
      <c r="L417" s="16" t="s">
        <v>505</v>
      </c>
    </row>
    <row r="418" spans="1:12" ht="36">
      <c r="A418" s="4" t="s">
        <v>117</v>
      </c>
      <c r="B418" s="4">
        <v>2022</v>
      </c>
      <c r="C418" s="4" t="s">
        <v>209</v>
      </c>
      <c r="D418" s="4" t="s">
        <v>467</v>
      </c>
      <c r="E418" s="4">
        <v>1725476977.4300001</v>
      </c>
      <c r="F418" s="4" t="s">
        <v>417</v>
      </c>
      <c r="G418" s="4">
        <v>1</v>
      </c>
      <c r="H418" s="4" t="s">
        <v>486</v>
      </c>
      <c r="I418" s="4" t="s">
        <v>487</v>
      </c>
      <c r="J418" s="4" t="s">
        <v>135</v>
      </c>
      <c r="K418" s="4" t="s">
        <v>466</v>
      </c>
      <c r="L418" s="16" t="s">
        <v>505</v>
      </c>
    </row>
    <row r="419" spans="1:12" ht="24">
      <c r="A419" s="4" t="s">
        <v>117</v>
      </c>
      <c r="B419" s="4">
        <v>2023</v>
      </c>
      <c r="C419" s="4" t="s">
        <v>212</v>
      </c>
      <c r="D419" s="4" t="s">
        <v>416</v>
      </c>
      <c r="E419" s="4">
        <v>3263911392.6300001</v>
      </c>
      <c r="F419" s="4" t="s">
        <v>417</v>
      </c>
      <c r="G419" s="4">
        <v>1</v>
      </c>
      <c r="H419" s="4" t="s">
        <v>479</v>
      </c>
      <c r="I419" s="4" t="s">
        <v>480</v>
      </c>
      <c r="J419" s="4" t="s">
        <v>135</v>
      </c>
      <c r="K419" s="4" t="s">
        <v>420</v>
      </c>
      <c r="L419" s="16" t="s">
        <v>513</v>
      </c>
    </row>
    <row r="420" spans="1:12" ht="24">
      <c r="A420" s="4" t="s">
        <v>117</v>
      </c>
      <c r="B420" s="4">
        <v>2023</v>
      </c>
      <c r="C420" s="4" t="s">
        <v>212</v>
      </c>
      <c r="D420" s="4" t="s">
        <v>422</v>
      </c>
      <c r="E420" s="4">
        <v>48.38</v>
      </c>
      <c r="F420" s="4" t="s">
        <v>423</v>
      </c>
      <c r="G420" s="4">
        <v>1</v>
      </c>
      <c r="H420" s="4" t="s">
        <v>495</v>
      </c>
      <c r="I420" s="4" t="s">
        <v>425</v>
      </c>
      <c r="J420" s="4" t="s">
        <v>135</v>
      </c>
      <c r="K420" s="4" t="s">
        <v>426</v>
      </c>
      <c r="L420" s="16" t="s">
        <v>514</v>
      </c>
    </row>
    <row r="421" spans="1:12" ht="24">
      <c r="A421" s="4" t="s">
        <v>117</v>
      </c>
      <c r="B421" s="4">
        <v>2023</v>
      </c>
      <c r="C421" s="4" t="s">
        <v>212</v>
      </c>
      <c r="D421" s="4" t="s">
        <v>428</v>
      </c>
      <c r="E421" s="4">
        <v>612123657.52999997</v>
      </c>
      <c r="F421" s="4" t="s">
        <v>417</v>
      </c>
      <c r="G421" s="4">
        <v>1</v>
      </c>
      <c r="H421" s="4" t="s">
        <v>429</v>
      </c>
      <c r="I421" s="4" t="s">
        <v>430</v>
      </c>
      <c r="J421" s="4" t="s">
        <v>431</v>
      </c>
      <c r="K421" s="4" t="s">
        <v>432</v>
      </c>
      <c r="L421" s="16" t="s">
        <v>513</v>
      </c>
    </row>
    <row r="422" spans="1:12" ht="15.75">
      <c r="A422" s="4" t="s">
        <v>117</v>
      </c>
      <c r="B422" s="4">
        <v>2023</v>
      </c>
      <c r="C422" s="4" t="s">
        <v>212</v>
      </c>
      <c r="D422" s="4" t="s">
        <v>433</v>
      </c>
      <c r="E422" s="4">
        <v>12288331897.42</v>
      </c>
      <c r="F422" s="4" t="s">
        <v>417</v>
      </c>
      <c r="G422" s="4">
        <v>1</v>
      </c>
      <c r="H422" s="4" t="s">
        <v>434</v>
      </c>
      <c r="I422" s="4" t="s">
        <v>435</v>
      </c>
      <c r="J422" s="4" t="s">
        <v>135</v>
      </c>
      <c r="K422" s="4" t="s">
        <v>436</v>
      </c>
      <c r="L422" s="16" t="s">
        <v>515</v>
      </c>
    </row>
    <row r="423" spans="1:12" ht="15.75">
      <c r="A423" s="4" t="s">
        <v>117</v>
      </c>
      <c r="B423" s="4">
        <v>2023</v>
      </c>
      <c r="C423" s="4" t="s">
        <v>212</v>
      </c>
      <c r="D423" s="4" t="s">
        <v>438</v>
      </c>
      <c r="E423" s="4">
        <v>12051609892.23</v>
      </c>
      <c r="F423" s="4" t="s">
        <v>417</v>
      </c>
      <c r="G423" s="4">
        <v>1</v>
      </c>
      <c r="H423" s="4" t="s">
        <v>439</v>
      </c>
      <c r="I423" s="4" t="s">
        <v>435</v>
      </c>
      <c r="J423" s="4" t="s">
        <v>135</v>
      </c>
      <c r="K423" s="4" t="s">
        <v>436</v>
      </c>
      <c r="L423" s="16" t="s">
        <v>515</v>
      </c>
    </row>
    <row r="424" spans="1:12" ht="15.75">
      <c r="A424" s="4" t="s">
        <v>117</v>
      </c>
      <c r="B424" s="4">
        <v>2023</v>
      </c>
      <c r="C424" s="4" t="s">
        <v>212</v>
      </c>
      <c r="D424" s="4" t="s">
        <v>440</v>
      </c>
      <c r="E424" s="4">
        <v>11925079275.280001</v>
      </c>
      <c r="F424" s="4" t="s">
        <v>417</v>
      </c>
      <c r="G424" s="4">
        <v>1</v>
      </c>
      <c r="H424" s="4" t="s">
        <v>441</v>
      </c>
      <c r="I424" s="4" t="s">
        <v>435</v>
      </c>
      <c r="J424" s="4" t="s">
        <v>135</v>
      </c>
      <c r="K424" s="4" t="s">
        <v>436</v>
      </c>
      <c r="L424" s="16" t="s">
        <v>515</v>
      </c>
    </row>
    <row r="425" spans="1:12" ht="24">
      <c r="A425" s="4" t="s">
        <v>117</v>
      </c>
      <c r="B425" s="4">
        <v>2023</v>
      </c>
      <c r="C425" s="4" t="s">
        <v>212</v>
      </c>
      <c r="D425" s="4" t="s">
        <v>442</v>
      </c>
      <c r="E425" s="4">
        <v>4811055780.0600004</v>
      </c>
      <c r="F425" s="4" t="s">
        <v>417</v>
      </c>
      <c r="G425" s="4">
        <v>1</v>
      </c>
      <c r="H425" s="4" t="s">
        <v>498</v>
      </c>
      <c r="I425" s="4" t="s">
        <v>425</v>
      </c>
      <c r="J425" s="4" t="s">
        <v>135</v>
      </c>
      <c r="K425" s="4" t="s">
        <v>444</v>
      </c>
      <c r="L425" s="16" t="s">
        <v>514</v>
      </c>
    </row>
    <row r="426" spans="1:12" ht="15.75">
      <c r="A426" s="4" t="s">
        <v>117</v>
      </c>
      <c r="B426" s="4">
        <v>2023</v>
      </c>
      <c r="C426" s="4" t="s">
        <v>212</v>
      </c>
      <c r="D426" s="4" t="s">
        <v>374</v>
      </c>
      <c r="E426" s="4">
        <v>5.2053330000000004</v>
      </c>
      <c r="F426" s="4" t="s">
        <v>375</v>
      </c>
      <c r="G426" s="4">
        <v>1</v>
      </c>
      <c r="H426" s="4" t="s">
        <v>516</v>
      </c>
      <c r="I426" s="4" t="s">
        <v>377</v>
      </c>
      <c r="J426" s="4" t="s">
        <v>378</v>
      </c>
      <c r="K426" s="4" t="s">
        <v>379</v>
      </c>
      <c r="L426" s="16" t="s">
        <v>380</v>
      </c>
    </row>
    <row r="427" spans="1:12" ht="15.75">
      <c r="A427" s="4" t="s">
        <v>117</v>
      </c>
      <c r="B427" s="4">
        <v>2023</v>
      </c>
      <c r="C427" s="4" t="s">
        <v>212</v>
      </c>
      <c r="D427" s="4" t="s">
        <v>381</v>
      </c>
      <c r="E427" s="4">
        <v>5.9454770000000003</v>
      </c>
      <c r="F427" s="4" t="s">
        <v>375</v>
      </c>
      <c r="G427" s="4">
        <v>1</v>
      </c>
      <c r="H427" s="4" t="s">
        <v>516</v>
      </c>
      <c r="I427" s="4" t="s">
        <v>377</v>
      </c>
      <c r="J427" s="4" t="s">
        <v>378</v>
      </c>
      <c r="K427" s="4" t="s">
        <v>379</v>
      </c>
      <c r="L427" s="16" t="s">
        <v>382</v>
      </c>
    </row>
    <row r="428" spans="1:12" ht="15.75">
      <c r="A428" s="4" t="s">
        <v>117</v>
      </c>
      <c r="B428" s="4">
        <v>2023</v>
      </c>
      <c r="C428" s="4" t="s">
        <v>212</v>
      </c>
      <c r="D428" s="4" t="s">
        <v>383</v>
      </c>
      <c r="E428" s="4">
        <v>0.98948499999999995</v>
      </c>
      <c r="F428" s="4" t="s">
        <v>384</v>
      </c>
      <c r="G428" s="4">
        <v>1</v>
      </c>
      <c r="H428" s="4" t="s">
        <v>517</v>
      </c>
      <c r="I428" s="4" t="s">
        <v>377</v>
      </c>
      <c r="J428" s="4" t="s">
        <v>378</v>
      </c>
      <c r="K428" s="4" t="s">
        <v>379</v>
      </c>
      <c r="L428" s="16" t="s">
        <v>380</v>
      </c>
    </row>
    <row r="429" spans="1:12" ht="15.75">
      <c r="A429" s="4" t="s">
        <v>117</v>
      </c>
      <c r="B429" s="4">
        <v>2023</v>
      </c>
      <c r="C429" s="4" t="s">
        <v>212</v>
      </c>
      <c r="D429" s="4" t="s">
        <v>386</v>
      </c>
      <c r="E429" s="4">
        <v>0.99859900000000001</v>
      </c>
      <c r="F429" s="4" t="s">
        <v>384</v>
      </c>
      <c r="G429" s="4">
        <v>1</v>
      </c>
      <c r="H429" s="4" t="s">
        <v>517</v>
      </c>
      <c r="I429" s="4" t="s">
        <v>377</v>
      </c>
      <c r="J429" s="4" t="s">
        <v>378</v>
      </c>
      <c r="K429" s="4" t="s">
        <v>379</v>
      </c>
      <c r="L429" s="16" t="s">
        <v>382</v>
      </c>
    </row>
    <row r="430" spans="1:12" ht="36">
      <c r="A430" s="4" t="s">
        <v>117</v>
      </c>
      <c r="B430" s="4">
        <v>2023</v>
      </c>
      <c r="C430" s="4" t="s">
        <v>212</v>
      </c>
      <c r="D430" s="4" t="s">
        <v>394</v>
      </c>
      <c r="E430" s="4">
        <v>86939831.736000001</v>
      </c>
      <c r="F430" s="4" t="s">
        <v>395</v>
      </c>
      <c r="G430" s="4">
        <v>1000</v>
      </c>
      <c r="H430" s="4" t="s">
        <v>396</v>
      </c>
      <c r="I430" s="4" t="s">
        <v>397</v>
      </c>
      <c r="J430" s="4" t="s">
        <v>135</v>
      </c>
      <c r="K430" s="4" t="s">
        <v>398</v>
      </c>
      <c r="L430" s="16" t="s">
        <v>399</v>
      </c>
    </row>
    <row r="431" spans="1:12" ht="36">
      <c r="A431" s="4" t="s">
        <v>117</v>
      </c>
      <c r="B431" s="4">
        <v>2023</v>
      </c>
      <c r="C431" s="4" t="s">
        <v>212</v>
      </c>
      <c r="D431" s="4" t="s">
        <v>400</v>
      </c>
      <c r="E431" s="4">
        <v>35796.74</v>
      </c>
      <c r="F431" s="4" t="s">
        <v>401</v>
      </c>
      <c r="G431" s="4">
        <v>1</v>
      </c>
      <c r="H431" s="4" t="s">
        <v>402</v>
      </c>
      <c r="I431" s="4" t="s">
        <v>403</v>
      </c>
      <c r="J431" s="4" t="s">
        <v>135</v>
      </c>
      <c r="K431" s="4" t="s">
        <v>404</v>
      </c>
      <c r="L431" s="16" t="s">
        <v>399</v>
      </c>
    </row>
    <row r="432" spans="1:12" ht="15.75">
      <c r="A432" s="4" t="s">
        <v>117</v>
      </c>
      <c r="B432" s="4">
        <v>2023</v>
      </c>
      <c r="C432" s="4" t="s">
        <v>212</v>
      </c>
      <c r="D432" s="4" t="s">
        <v>445</v>
      </c>
      <c r="E432" s="4"/>
      <c r="F432" s="4" t="s">
        <v>446</v>
      </c>
      <c r="G432" s="4">
        <v>1</v>
      </c>
      <c r="H432" s="4" t="s">
        <v>518</v>
      </c>
      <c r="I432" s="4" t="s">
        <v>448</v>
      </c>
      <c r="J432" s="4" t="s">
        <v>519</v>
      </c>
      <c r="K432" s="4" t="s">
        <v>520</v>
      </c>
      <c r="L432" s="16" t="s">
        <v>451</v>
      </c>
    </row>
    <row r="433" spans="1:12" ht="15.75">
      <c r="A433" s="4" t="s">
        <v>117</v>
      </c>
      <c r="B433" s="4">
        <v>2023</v>
      </c>
      <c r="C433" s="4" t="s">
        <v>212</v>
      </c>
      <c r="D433" s="4" t="s">
        <v>452</v>
      </c>
      <c r="E433" s="4">
        <v>10110743386.450001</v>
      </c>
      <c r="F433" s="4" t="s">
        <v>417</v>
      </c>
      <c r="G433" s="4">
        <v>1</v>
      </c>
      <c r="H433" s="4" t="s">
        <v>453</v>
      </c>
      <c r="I433" s="4" t="s">
        <v>454</v>
      </c>
      <c r="J433" s="4" t="s">
        <v>135</v>
      </c>
      <c r="K433" s="4" t="s">
        <v>455</v>
      </c>
      <c r="L433" s="16" t="s">
        <v>514</v>
      </c>
    </row>
    <row r="434" spans="1:12" ht="36">
      <c r="A434" s="4" t="s">
        <v>117</v>
      </c>
      <c r="B434" s="4">
        <v>2023</v>
      </c>
      <c r="C434" s="4" t="s">
        <v>212</v>
      </c>
      <c r="D434" s="4" t="s">
        <v>456</v>
      </c>
      <c r="E434" s="4">
        <v>9944213020.4500008</v>
      </c>
      <c r="F434" s="4" t="s">
        <v>417</v>
      </c>
      <c r="G434" s="4">
        <v>1</v>
      </c>
      <c r="H434" s="4" t="s">
        <v>499</v>
      </c>
      <c r="I434" s="4" t="s">
        <v>478</v>
      </c>
      <c r="J434" s="4" t="s">
        <v>135</v>
      </c>
      <c r="K434" s="4" t="s">
        <v>459</v>
      </c>
      <c r="L434" s="16" t="s">
        <v>514</v>
      </c>
    </row>
    <row r="435" spans="1:12" ht="24">
      <c r="A435" s="4" t="s">
        <v>117</v>
      </c>
      <c r="B435" s="4">
        <v>2023</v>
      </c>
      <c r="C435" s="4" t="s">
        <v>212</v>
      </c>
      <c r="D435" s="4" t="s">
        <v>460</v>
      </c>
      <c r="E435" s="4">
        <v>13483834203.27</v>
      </c>
      <c r="F435" s="4" t="s">
        <v>417</v>
      </c>
      <c r="G435" s="4">
        <v>1</v>
      </c>
      <c r="H435" s="4" t="s">
        <v>493</v>
      </c>
      <c r="I435" s="4" t="s">
        <v>430</v>
      </c>
      <c r="J435" s="4" t="s">
        <v>135</v>
      </c>
      <c r="K435" s="4" t="s">
        <v>462</v>
      </c>
      <c r="L435" s="16" t="s">
        <v>513</v>
      </c>
    </row>
    <row r="436" spans="1:12" ht="36">
      <c r="A436" s="4" t="s">
        <v>117</v>
      </c>
      <c r="B436" s="4">
        <v>2023</v>
      </c>
      <c r="C436" s="4" t="s">
        <v>212</v>
      </c>
      <c r="D436" s="4" t="s">
        <v>463</v>
      </c>
      <c r="E436" s="4">
        <v>3738105916.98</v>
      </c>
      <c r="F436" s="4" t="s">
        <v>417</v>
      </c>
      <c r="G436" s="4">
        <v>1</v>
      </c>
      <c r="H436" s="4" t="s">
        <v>484</v>
      </c>
      <c r="I436" s="4" t="s">
        <v>485</v>
      </c>
      <c r="J436" s="4" t="s">
        <v>135</v>
      </c>
      <c r="K436" s="4" t="s">
        <v>466</v>
      </c>
      <c r="L436" s="16" t="s">
        <v>513</v>
      </c>
    </row>
    <row r="437" spans="1:12" ht="36">
      <c r="A437" s="4" t="s">
        <v>117</v>
      </c>
      <c r="B437" s="4">
        <v>2023</v>
      </c>
      <c r="C437" s="4" t="s">
        <v>212</v>
      </c>
      <c r="D437" s="4" t="s">
        <v>467</v>
      </c>
      <c r="E437" s="4">
        <v>1702387435.55</v>
      </c>
      <c r="F437" s="4" t="s">
        <v>417</v>
      </c>
      <c r="G437" s="4">
        <v>1</v>
      </c>
      <c r="H437" s="4" t="s">
        <v>486</v>
      </c>
      <c r="I437" s="4" t="s">
        <v>487</v>
      </c>
      <c r="J437" s="4" t="s">
        <v>135</v>
      </c>
      <c r="K437" s="4" t="s">
        <v>466</v>
      </c>
      <c r="L437" s="16" t="s">
        <v>513</v>
      </c>
    </row>
    <row r="438" spans="1:12" ht="24">
      <c r="A438" s="4" t="s">
        <v>117</v>
      </c>
      <c r="B438" s="4">
        <v>2024</v>
      </c>
      <c r="C438" s="4" t="s">
        <v>215</v>
      </c>
      <c r="D438" s="4" t="s">
        <v>416</v>
      </c>
      <c r="E438" s="4">
        <v>3592275195.4000001</v>
      </c>
      <c r="F438" s="4" t="s">
        <v>417</v>
      </c>
      <c r="G438" s="4">
        <v>1</v>
      </c>
      <c r="H438" s="4" t="s">
        <v>479</v>
      </c>
      <c r="I438" s="4" t="s">
        <v>480</v>
      </c>
      <c r="J438" s="4" t="s">
        <v>135</v>
      </c>
      <c r="K438" s="4" t="s">
        <v>420</v>
      </c>
      <c r="L438" s="16" t="s">
        <v>521</v>
      </c>
    </row>
    <row r="439" spans="1:12" ht="24">
      <c r="A439" s="4" t="s">
        <v>117</v>
      </c>
      <c r="B439" s="4">
        <v>2024</v>
      </c>
      <c r="C439" s="4" t="s">
        <v>215</v>
      </c>
      <c r="D439" s="4" t="s">
        <v>422</v>
      </c>
      <c r="E439" s="4">
        <v>47.87</v>
      </c>
      <c r="F439" s="4" t="s">
        <v>423</v>
      </c>
      <c r="G439" s="4">
        <v>1</v>
      </c>
      <c r="H439" s="4" t="s">
        <v>522</v>
      </c>
      <c r="I439" s="4" t="s">
        <v>425</v>
      </c>
      <c r="J439" s="4" t="s">
        <v>135</v>
      </c>
      <c r="K439" s="4" t="s">
        <v>426</v>
      </c>
      <c r="L439" s="16" t="s">
        <v>523</v>
      </c>
    </row>
    <row r="440" spans="1:12" ht="24">
      <c r="A440" s="4" t="s">
        <v>117</v>
      </c>
      <c r="B440" s="4">
        <v>2024</v>
      </c>
      <c r="C440" s="4" t="s">
        <v>215</v>
      </c>
      <c r="D440" s="4" t="s">
        <v>428</v>
      </c>
      <c r="E440" s="4">
        <v>695926548.84000003</v>
      </c>
      <c r="F440" s="4" t="s">
        <v>417</v>
      </c>
      <c r="G440" s="4">
        <v>1</v>
      </c>
      <c r="H440" s="4" t="s">
        <v>429</v>
      </c>
      <c r="I440" s="4" t="s">
        <v>430</v>
      </c>
      <c r="J440" s="4" t="s">
        <v>431</v>
      </c>
      <c r="K440" s="4" t="s">
        <v>432</v>
      </c>
      <c r="L440" s="16" t="s">
        <v>521</v>
      </c>
    </row>
    <row r="441" spans="1:12" ht="15.75">
      <c r="A441" s="4" t="s">
        <v>117</v>
      </c>
      <c r="B441" s="4">
        <v>2024</v>
      </c>
      <c r="C441" s="4" t="s">
        <v>215</v>
      </c>
      <c r="D441" s="4" t="s">
        <v>433</v>
      </c>
      <c r="E441" s="4">
        <v>14265420925.860001</v>
      </c>
      <c r="F441" s="4" t="s">
        <v>417</v>
      </c>
      <c r="G441" s="4">
        <v>1</v>
      </c>
      <c r="H441" s="4" t="s">
        <v>434</v>
      </c>
      <c r="I441" s="4" t="s">
        <v>435</v>
      </c>
      <c r="J441" s="4" t="s">
        <v>135</v>
      </c>
      <c r="K441" s="4" t="s">
        <v>436</v>
      </c>
      <c r="L441" s="16" t="s">
        <v>524</v>
      </c>
    </row>
    <row r="442" spans="1:12" ht="15.75">
      <c r="A442" s="4" t="s">
        <v>117</v>
      </c>
      <c r="B442" s="4">
        <v>2024</v>
      </c>
      <c r="C442" s="4" t="s">
        <v>215</v>
      </c>
      <c r="D442" s="4" t="s">
        <v>438</v>
      </c>
      <c r="E442" s="4">
        <v>13951885712.370001</v>
      </c>
      <c r="F442" s="4" t="s">
        <v>417</v>
      </c>
      <c r="G442" s="4">
        <v>1</v>
      </c>
      <c r="H442" s="4" t="s">
        <v>439</v>
      </c>
      <c r="I442" s="4" t="s">
        <v>435</v>
      </c>
      <c r="J442" s="4" t="s">
        <v>135</v>
      </c>
      <c r="K442" s="4" t="s">
        <v>436</v>
      </c>
      <c r="L442" s="16" t="s">
        <v>524</v>
      </c>
    </row>
    <row r="443" spans="1:12" ht="15.75">
      <c r="A443" s="4" t="s">
        <v>117</v>
      </c>
      <c r="B443" s="4">
        <v>2024</v>
      </c>
      <c r="C443" s="4" t="s">
        <v>215</v>
      </c>
      <c r="D443" s="4" t="s">
        <v>440</v>
      </c>
      <c r="E443" s="4">
        <v>13914972736.219999</v>
      </c>
      <c r="F443" s="4" t="s">
        <v>417</v>
      </c>
      <c r="G443" s="4">
        <v>1</v>
      </c>
      <c r="H443" s="4" t="s">
        <v>441</v>
      </c>
      <c r="I443" s="4" t="s">
        <v>435</v>
      </c>
      <c r="J443" s="4" t="s">
        <v>135</v>
      </c>
      <c r="K443" s="4" t="s">
        <v>436</v>
      </c>
      <c r="L443" s="16" t="s">
        <v>524</v>
      </c>
    </row>
    <row r="444" spans="1:12" ht="24">
      <c r="A444" s="4" t="s">
        <v>117</v>
      </c>
      <c r="B444" s="4">
        <v>2024</v>
      </c>
      <c r="C444" s="4" t="s">
        <v>215</v>
      </c>
      <c r="D444" s="4" t="s">
        <v>442</v>
      </c>
      <c r="E444" s="4">
        <v>5400177822.1700001</v>
      </c>
      <c r="F444" s="4" t="s">
        <v>417</v>
      </c>
      <c r="G444" s="4">
        <v>1</v>
      </c>
      <c r="H444" s="4" t="s">
        <v>525</v>
      </c>
      <c r="I444" s="4" t="s">
        <v>425</v>
      </c>
      <c r="J444" s="4" t="s">
        <v>135</v>
      </c>
      <c r="K444" s="4" t="s">
        <v>444</v>
      </c>
      <c r="L444" s="16" t="s">
        <v>523</v>
      </c>
    </row>
    <row r="445" spans="1:12" ht="15.75">
      <c r="A445" s="4" t="s">
        <v>117</v>
      </c>
      <c r="B445" s="4">
        <v>2024</v>
      </c>
      <c r="C445" s="4" t="s">
        <v>215</v>
      </c>
      <c r="D445" s="4" t="s">
        <v>445</v>
      </c>
      <c r="E445" s="4">
        <v>2574412</v>
      </c>
      <c r="F445" s="4" t="s">
        <v>446</v>
      </c>
      <c r="G445" s="4">
        <v>1</v>
      </c>
      <c r="H445" s="4" t="s">
        <v>447</v>
      </c>
      <c r="I445" s="4" t="s">
        <v>448</v>
      </c>
      <c r="J445" s="4" t="s">
        <v>449</v>
      </c>
      <c r="K445" s="4" t="s">
        <v>450</v>
      </c>
      <c r="L445" s="16" t="s">
        <v>451</v>
      </c>
    </row>
    <row r="446" spans="1:12" ht="15.75">
      <c r="A446" s="4" t="s">
        <v>117</v>
      </c>
      <c r="B446" s="4">
        <v>2024</v>
      </c>
      <c r="C446" s="4" t="s">
        <v>215</v>
      </c>
      <c r="D446" s="4" t="s">
        <v>452</v>
      </c>
      <c r="E446" s="4">
        <v>11438382522.360001</v>
      </c>
      <c r="F446" s="4" t="s">
        <v>417</v>
      </c>
      <c r="G446" s="4">
        <v>1</v>
      </c>
      <c r="H446" s="4" t="s">
        <v>453</v>
      </c>
      <c r="I446" s="4" t="s">
        <v>454</v>
      </c>
      <c r="J446" s="4" t="s">
        <v>135</v>
      </c>
      <c r="K446" s="4" t="s">
        <v>455</v>
      </c>
      <c r="L446" s="16" t="s">
        <v>523</v>
      </c>
    </row>
    <row r="447" spans="1:12" ht="36">
      <c r="A447" s="4" t="s">
        <v>117</v>
      </c>
      <c r="B447" s="4">
        <v>2024</v>
      </c>
      <c r="C447" s="4" t="s">
        <v>215</v>
      </c>
      <c r="D447" s="4" t="s">
        <v>456</v>
      </c>
      <c r="E447" s="4">
        <v>11280131752.360001</v>
      </c>
      <c r="F447" s="4" t="s">
        <v>417</v>
      </c>
      <c r="G447" s="4">
        <v>1</v>
      </c>
      <c r="H447" s="4" t="s">
        <v>526</v>
      </c>
      <c r="I447" s="4" t="s">
        <v>478</v>
      </c>
      <c r="J447" s="4" t="s">
        <v>135</v>
      </c>
      <c r="K447" s="4" t="s">
        <v>459</v>
      </c>
      <c r="L447" s="16" t="s">
        <v>523</v>
      </c>
    </row>
    <row r="448" spans="1:12" ht="24">
      <c r="A448" s="4" t="s">
        <v>117</v>
      </c>
      <c r="B448" s="4">
        <v>2024</v>
      </c>
      <c r="C448" s="4" t="s">
        <v>215</v>
      </c>
      <c r="D448" s="4" t="s">
        <v>460</v>
      </c>
      <c r="E448" s="4">
        <v>14142951126.709999</v>
      </c>
      <c r="F448" s="4" t="s">
        <v>417</v>
      </c>
      <c r="G448" s="4">
        <v>1</v>
      </c>
      <c r="H448" s="4" t="s">
        <v>493</v>
      </c>
      <c r="I448" s="4" t="s">
        <v>430</v>
      </c>
      <c r="J448" s="4" t="s">
        <v>135</v>
      </c>
      <c r="K448" s="4" t="s">
        <v>462</v>
      </c>
      <c r="L448" s="16" t="s">
        <v>521</v>
      </c>
    </row>
    <row r="449" spans="1:12" ht="36">
      <c r="A449" s="4" t="s">
        <v>117</v>
      </c>
      <c r="B449" s="4">
        <v>2024</v>
      </c>
      <c r="C449" s="4" t="s">
        <v>215</v>
      </c>
      <c r="D449" s="4" t="s">
        <v>463</v>
      </c>
      <c r="E449" s="4">
        <v>4284578277.0999999</v>
      </c>
      <c r="F449" s="4" t="s">
        <v>417</v>
      </c>
      <c r="G449" s="4">
        <v>1</v>
      </c>
      <c r="H449" s="4" t="s">
        <v>484</v>
      </c>
      <c r="I449" s="4" t="s">
        <v>485</v>
      </c>
      <c r="J449" s="4" t="s">
        <v>135</v>
      </c>
      <c r="K449" s="4" t="s">
        <v>466</v>
      </c>
      <c r="L449" s="16" t="s">
        <v>521</v>
      </c>
    </row>
    <row r="450" spans="1:12" ht="36">
      <c r="A450" s="4" t="s">
        <v>117</v>
      </c>
      <c r="B450" s="4">
        <v>2024</v>
      </c>
      <c r="C450" s="4" t="s">
        <v>215</v>
      </c>
      <c r="D450" s="4" t="s">
        <v>467</v>
      </c>
      <c r="E450" s="4">
        <v>1886123196.9300001</v>
      </c>
      <c r="F450" s="4" t="s">
        <v>417</v>
      </c>
      <c r="G450" s="4">
        <v>1</v>
      </c>
      <c r="H450" s="4" t="s">
        <v>486</v>
      </c>
      <c r="I450" s="4" t="s">
        <v>487</v>
      </c>
      <c r="J450" s="4" t="s">
        <v>135</v>
      </c>
      <c r="K450" s="4" t="s">
        <v>466</v>
      </c>
      <c r="L450" s="16" t="s">
        <v>521</v>
      </c>
    </row>
    <row r="451" spans="1:12" ht="24">
      <c r="A451" s="4" t="s">
        <v>117</v>
      </c>
      <c r="B451" s="4">
        <v>2025</v>
      </c>
      <c r="C451" s="4" t="s">
        <v>218</v>
      </c>
      <c r="D451" s="4" t="s">
        <v>416</v>
      </c>
      <c r="E451" s="4">
        <v>3739860959.79</v>
      </c>
      <c r="F451" s="4" t="s">
        <v>417</v>
      </c>
      <c r="G451" s="4">
        <v>1</v>
      </c>
      <c r="H451" s="4" t="s">
        <v>479</v>
      </c>
      <c r="I451" s="4" t="s">
        <v>480</v>
      </c>
      <c r="J451" s="4" t="s">
        <v>135</v>
      </c>
      <c r="K451" s="4" t="s">
        <v>420</v>
      </c>
      <c r="L451" s="16" t="s">
        <v>527</v>
      </c>
    </row>
    <row r="452" spans="1:12" ht="24">
      <c r="A452" s="4" t="s">
        <v>117</v>
      </c>
      <c r="B452" s="4">
        <v>2025</v>
      </c>
      <c r="C452" s="4" t="s">
        <v>218</v>
      </c>
      <c r="D452" s="4" t="s">
        <v>422</v>
      </c>
      <c r="E452" s="4">
        <v>46.54</v>
      </c>
      <c r="F452" s="4" t="s">
        <v>423</v>
      </c>
      <c r="G452" s="4">
        <v>1</v>
      </c>
      <c r="H452" s="4" t="s">
        <v>522</v>
      </c>
      <c r="I452" s="4" t="s">
        <v>425</v>
      </c>
      <c r="J452" s="4" t="s">
        <v>135</v>
      </c>
      <c r="K452" s="4" t="s">
        <v>426</v>
      </c>
      <c r="L452" s="16" t="s">
        <v>528</v>
      </c>
    </row>
    <row r="453" spans="1:12" ht="24">
      <c r="A453" s="4" t="s">
        <v>117</v>
      </c>
      <c r="B453" s="4">
        <v>2025</v>
      </c>
      <c r="C453" s="4" t="s">
        <v>218</v>
      </c>
      <c r="D453" s="4" t="s">
        <v>428</v>
      </c>
      <c r="E453" s="4">
        <v>738193102.39999998</v>
      </c>
      <c r="F453" s="4" t="s">
        <v>417</v>
      </c>
      <c r="G453" s="4">
        <v>1</v>
      </c>
      <c r="H453" s="4" t="s">
        <v>429</v>
      </c>
      <c r="I453" s="4" t="s">
        <v>430</v>
      </c>
      <c r="J453" s="4" t="s">
        <v>431</v>
      </c>
      <c r="K453" s="4" t="s">
        <v>432</v>
      </c>
      <c r="L453" s="16" t="s">
        <v>527</v>
      </c>
    </row>
    <row r="454" spans="1:12" ht="15.75">
      <c r="A454" s="4" t="s">
        <v>117</v>
      </c>
      <c r="B454" s="4">
        <v>2025</v>
      </c>
      <c r="C454" s="4" t="s">
        <v>218</v>
      </c>
      <c r="D454" s="4" t="s">
        <v>433</v>
      </c>
      <c r="E454" s="4">
        <v>13965276937.07</v>
      </c>
      <c r="F454" s="4" t="s">
        <v>417</v>
      </c>
      <c r="G454" s="4">
        <v>1</v>
      </c>
      <c r="H454" s="4" t="s">
        <v>434</v>
      </c>
      <c r="I454" s="4" t="s">
        <v>435</v>
      </c>
      <c r="J454" s="4" t="s">
        <v>135</v>
      </c>
      <c r="K454" s="4" t="s">
        <v>436</v>
      </c>
      <c r="L454" s="16" t="s">
        <v>529</v>
      </c>
    </row>
    <row r="455" spans="1:12" ht="15.75">
      <c r="A455" s="4" t="s">
        <v>117</v>
      </c>
      <c r="B455" s="4">
        <v>2025</v>
      </c>
      <c r="C455" s="4" t="s">
        <v>218</v>
      </c>
      <c r="D455" s="4" t="s">
        <v>438</v>
      </c>
      <c r="E455" s="4">
        <v>13789180284.92</v>
      </c>
      <c r="F455" s="4" t="s">
        <v>417</v>
      </c>
      <c r="G455" s="4">
        <v>1</v>
      </c>
      <c r="H455" s="4" t="s">
        <v>439</v>
      </c>
      <c r="I455" s="4" t="s">
        <v>435</v>
      </c>
      <c r="J455" s="4" t="s">
        <v>135</v>
      </c>
      <c r="K455" s="4" t="s">
        <v>436</v>
      </c>
      <c r="L455" s="16" t="s">
        <v>529</v>
      </c>
    </row>
    <row r="456" spans="1:12" ht="15.75">
      <c r="A456" s="4" t="s">
        <v>117</v>
      </c>
      <c r="B456" s="4">
        <v>2025</v>
      </c>
      <c r="C456" s="4" t="s">
        <v>218</v>
      </c>
      <c r="D456" s="4" t="s">
        <v>440</v>
      </c>
      <c r="E456" s="4">
        <v>13760843623.280001</v>
      </c>
      <c r="F456" s="4" t="s">
        <v>417</v>
      </c>
      <c r="G456" s="4">
        <v>1</v>
      </c>
      <c r="H456" s="4" t="s">
        <v>441</v>
      </c>
      <c r="I456" s="4" t="s">
        <v>435</v>
      </c>
      <c r="J456" s="4" t="s">
        <v>135</v>
      </c>
      <c r="K456" s="4" t="s">
        <v>436</v>
      </c>
      <c r="L456" s="16" t="s">
        <v>529</v>
      </c>
    </row>
    <row r="457" spans="1:12" ht="24">
      <c r="A457" s="4" t="s">
        <v>117</v>
      </c>
      <c r="B457" s="4">
        <v>2025</v>
      </c>
      <c r="C457" s="4" t="s">
        <v>218</v>
      </c>
      <c r="D457" s="4" t="s">
        <v>442</v>
      </c>
      <c r="E457" s="4">
        <v>5714235305.7799997</v>
      </c>
      <c r="F457" s="4" t="s">
        <v>417</v>
      </c>
      <c r="G457" s="4">
        <v>1</v>
      </c>
      <c r="H457" s="4" t="s">
        <v>525</v>
      </c>
      <c r="I457" s="4" t="s">
        <v>425</v>
      </c>
      <c r="J457" s="4" t="s">
        <v>135</v>
      </c>
      <c r="K457" s="4" t="s">
        <v>444</v>
      </c>
      <c r="L457" s="16" t="s">
        <v>528</v>
      </c>
    </row>
    <row r="458" spans="1:12" ht="15.75">
      <c r="A458" s="4" t="s">
        <v>117</v>
      </c>
      <c r="B458" s="4">
        <v>2025</v>
      </c>
      <c r="C458" s="4" t="s">
        <v>218</v>
      </c>
      <c r="D458" s="4" t="s">
        <v>374</v>
      </c>
      <c r="E458" s="4">
        <v>5.2101670000000002</v>
      </c>
      <c r="F458" s="4" t="s">
        <v>375</v>
      </c>
      <c r="G458" s="4">
        <v>1</v>
      </c>
      <c r="H458" s="4" t="s">
        <v>530</v>
      </c>
      <c r="I458" s="4" t="s">
        <v>377</v>
      </c>
      <c r="J458" s="4" t="s">
        <v>378</v>
      </c>
      <c r="K458" s="4" t="s">
        <v>379</v>
      </c>
      <c r="L458" s="16" t="s">
        <v>380</v>
      </c>
    </row>
    <row r="459" spans="1:12" ht="15.75">
      <c r="A459" s="4" t="s">
        <v>117</v>
      </c>
      <c r="B459" s="4">
        <v>2025</v>
      </c>
      <c r="C459" s="4" t="s">
        <v>218</v>
      </c>
      <c r="D459" s="4" t="s">
        <v>381</v>
      </c>
      <c r="E459" s="4">
        <v>6.110665</v>
      </c>
      <c r="F459" s="4" t="s">
        <v>375</v>
      </c>
      <c r="G459" s="4">
        <v>1</v>
      </c>
      <c r="H459" s="4" t="s">
        <v>530</v>
      </c>
      <c r="I459" s="4" t="s">
        <v>377</v>
      </c>
      <c r="J459" s="4" t="s">
        <v>378</v>
      </c>
      <c r="K459" s="4" t="s">
        <v>379</v>
      </c>
      <c r="L459" s="16" t="s">
        <v>382</v>
      </c>
    </row>
    <row r="460" spans="1:12" ht="15.75">
      <c r="A460" s="4" t="s">
        <v>117</v>
      </c>
      <c r="B460" s="4">
        <v>2025</v>
      </c>
      <c r="C460" s="4" t="s">
        <v>218</v>
      </c>
      <c r="D460" s="4" t="s">
        <v>383</v>
      </c>
      <c r="E460" s="4">
        <v>0.99199099999999996</v>
      </c>
      <c r="F460" s="4" t="s">
        <v>384</v>
      </c>
      <c r="G460" s="4">
        <v>1</v>
      </c>
      <c r="H460" s="4" t="s">
        <v>531</v>
      </c>
      <c r="I460" s="4" t="s">
        <v>377</v>
      </c>
      <c r="J460" s="4" t="s">
        <v>378</v>
      </c>
      <c r="K460" s="4" t="s">
        <v>379</v>
      </c>
      <c r="L460" s="16" t="s">
        <v>380</v>
      </c>
    </row>
    <row r="461" spans="1:12" ht="15.75">
      <c r="A461" s="4" t="s">
        <v>117</v>
      </c>
      <c r="B461" s="4">
        <v>2025</v>
      </c>
      <c r="C461" s="4" t="s">
        <v>218</v>
      </c>
      <c r="D461" s="4" t="s">
        <v>386</v>
      </c>
      <c r="E461" s="4">
        <v>0.99839900000000004</v>
      </c>
      <c r="F461" s="4" t="s">
        <v>384</v>
      </c>
      <c r="G461" s="4">
        <v>1</v>
      </c>
      <c r="H461" s="4" t="s">
        <v>531</v>
      </c>
      <c r="I461" s="4" t="s">
        <v>377</v>
      </c>
      <c r="J461" s="4" t="s">
        <v>378</v>
      </c>
      <c r="K461" s="4" t="s">
        <v>379</v>
      </c>
      <c r="L461" s="16" t="s">
        <v>382</v>
      </c>
    </row>
    <row r="462" spans="1:12" ht="15.75">
      <c r="A462" s="4" t="s">
        <v>117</v>
      </c>
      <c r="B462" s="4">
        <v>2025</v>
      </c>
      <c r="C462" s="4" t="s">
        <v>218</v>
      </c>
      <c r="D462" s="4" t="s">
        <v>445</v>
      </c>
      <c r="E462" s="4">
        <v>2578483</v>
      </c>
      <c r="F462" s="4" t="s">
        <v>446</v>
      </c>
      <c r="G462" s="4">
        <v>1</v>
      </c>
      <c r="H462" s="4" t="s">
        <v>447</v>
      </c>
      <c r="I462" s="4" t="s">
        <v>448</v>
      </c>
      <c r="J462" s="4" t="s">
        <v>449</v>
      </c>
      <c r="K462" s="4" t="s">
        <v>450</v>
      </c>
      <c r="L462" s="16" t="s">
        <v>451</v>
      </c>
    </row>
    <row r="463" spans="1:12" ht="15.75">
      <c r="A463" s="4" t="s">
        <v>117</v>
      </c>
      <c r="B463" s="4">
        <v>2025</v>
      </c>
      <c r="C463" s="4" t="s">
        <v>218</v>
      </c>
      <c r="D463" s="4" t="s">
        <v>452</v>
      </c>
      <c r="E463" s="4">
        <v>12539078077.42</v>
      </c>
      <c r="F463" s="4" t="s">
        <v>417</v>
      </c>
      <c r="G463" s="4">
        <v>1</v>
      </c>
      <c r="H463" s="4" t="s">
        <v>453</v>
      </c>
      <c r="I463" s="4" t="s">
        <v>454</v>
      </c>
      <c r="J463" s="4" t="s">
        <v>135</v>
      </c>
      <c r="K463" s="4" t="s">
        <v>455</v>
      </c>
      <c r="L463" s="16" t="s">
        <v>528</v>
      </c>
    </row>
    <row r="464" spans="1:12" ht="36">
      <c r="A464" s="4" t="s">
        <v>117</v>
      </c>
      <c r="B464" s="4">
        <v>2025</v>
      </c>
      <c r="C464" s="4" t="s">
        <v>218</v>
      </c>
      <c r="D464" s="4" t="s">
        <v>456</v>
      </c>
      <c r="E464" s="4">
        <v>12278246349.6</v>
      </c>
      <c r="F464" s="4" t="s">
        <v>417</v>
      </c>
      <c r="G464" s="4">
        <v>1</v>
      </c>
      <c r="H464" s="4" t="s">
        <v>526</v>
      </c>
      <c r="I464" s="4" t="s">
        <v>478</v>
      </c>
      <c r="J464" s="4" t="s">
        <v>135</v>
      </c>
      <c r="K464" s="4" t="s">
        <v>459</v>
      </c>
      <c r="L464" s="16" t="s">
        <v>528</v>
      </c>
    </row>
    <row r="465" spans="1:12" ht="24">
      <c r="A465" s="4" t="s">
        <v>117</v>
      </c>
      <c r="B465" s="4">
        <v>2025</v>
      </c>
      <c r="C465" s="4" t="s">
        <v>218</v>
      </c>
      <c r="D465" s="4" t="s">
        <v>460</v>
      </c>
      <c r="E465" s="4">
        <v>15325827755.68</v>
      </c>
      <c r="F465" s="4" t="s">
        <v>417</v>
      </c>
      <c r="G465" s="4">
        <v>1</v>
      </c>
      <c r="H465" s="4" t="s">
        <v>493</v>
      </c>
      <c r="I465" s="4" t="s">
        <v>430</v>
      </c>
      <c r="J465" s="4" t="s">
        <v>135</v>
      </c>
      <c r="K465" s="4" t="s">
        <v>462</v>
      </c>
      <c r="L465" s="16" t="s">
        <v>527</v>
      </c>
    </row>
    <row r="466" spans="1:12" ht="36">
      <c r="A466" s="4" t="s">
        <v>117</v>
      </c>
      <c r="B466" s="4">
        <v>2025</v>
      </c>
      <c r="C466" s="4" t="s">
        <v>218</v>
      </c>
      <c r="D466" s="4" t="s">
        <v>463</v>
      </c>
      <c r="E466" s="4">
        <v>4999148127.9799995</v>
      </c>
      <c r="F466" s="4" t="s">
        <v>417</v>
      </c>
      <c r="G466" s="4">
        <v>1</v>
      </c>
      <c r="H466" s="4" t="s">
        <v>484</v>
      </c>
      <c r="I466" s="4" t="s">
        <v>485</v>
      </c>
      <c r="J466" s="4" t="s">
        <v>135</v>
      </c>
      <c r="K466" s="4" t="s">
        <v>466</v>
      </c>
      <c r="L466" s="16" t="s">
        <v>527</v>
      </c>
    </row>
    <row r="467" spans="1:12" ht="36">
      <c r="A467" s="4" t="s">
        <v>117</v>
      </c>
      <c r="B467" s="4">
        <v>2025</v>
      </c>
      <c r="C467" s="4" t="s">
        <v>218</v>
      </c>
      <c r="D467" s="4" t="s">
        <v>467</v>
      </c>
      <c r="E467" s="4">
        <v>2017594590.46</v>
      </c>
      <c r="F467" s="4" t="s">
        <v>417</v>
      </c>
      <c r="G467" s="4">
        <v>1</v>
      </c>
      <c r="H467" s="4" t="s">
        <v>486</v>
      </c>
      <c r="I467" s="4" t="s">
        <v>487</v>
      </c>
      <c r="J467" s="4" t="s">
        <v>135</v>
      </c>
      <c r="K467" s="4" t="s">
        <v>466</v>
      </c>
      <c r="L467" s="16" t="s">
        <v>527</v>
      </c>
    </row>
    <row r="468" spans="1:12" ht="24">
      <c r="A468" s="4" t="s">
        <v>117</v>
      </c>
      <c r="B468" s="4">
        <v>2026</v>
      </c>
      <c r="C468" s="4" t="s">
        <v>532</v>
      </c>
      <c r="D468" s="4" t="s">
        <v>445</v>
      </c>
      <c r="E468" s="4">
        <v>2582360</v>
      </c>
      <c r="F468" s="4" t="s">
        <v>446</v>
      </c>
      <c r="G468" s="4">
        <v>1</v>
      </c>
      <c r="H468" s="4" t="s">
        <v>533</v>
      </c>
      <c r="I468" s="4" t="s">
        <v>534</v>
      </c>
      <c r="J468" s="4" t="s">
        <v>535</v>
      </c>
      <c r="K468" s="4" t="s">
        <v>536</v>
      </c>
      <c r="L468" s="16" t="s">
        <v>512</v>
      </c>
    </row>
    <row r="469" spans="1:12" ht="15.75">
      <c r="A469" s="4" t="s">
        <v>118</v>
      </c>
      <c r="B469" s="4">
        <v>2005</v>
      </c>
      <c r="C469" s="4" t="s">
        <v>373</v>
      </c>
      <c r="D469" s="4" t="s">
        <v>374</v>
      </c>
      <c r="E469" s="4">
        <v>4.220167</v>
      </c>
      <c r="F469" s="4" t="s">
        <v>375</v>
      </c>
      <c r="G469" s="4">
        <v>1</v>
      </c>
      <c r="H469" s="4" t="s">
        <v>376</v>
      </c>
      <c r="I469" s="4" t="s">
        <v>377</v>
      </c>
      <c r="J469" s="4" t="s">
        <v>378</v>
      </c>
      <c r="K469" s="4" t="s">
        <v>379</v>
      </c>
      <c r="L469" s="16" t="s">
        <v>380</v>
      </c>
    </row>
    <row r="470" spans="1:12" ht="15.75">
      <c r="A470" s="4" t="s">
        <v>118</v>
      </c>
      <c r="B470" s="4">
        <v>2005</v>
      </c>
      <c r="C470" s="4" t="s">
        <v>373</v>
      </c>
      <c r="D470" s="4" t="s">
        <v>381</v>
      </c>
      <c r="E470" s="4">
        <v>4.2264369999999998</v>
      </c>
      <c r="F470" s="4" t="s">
        <v>375</v>
      </c>
      <c r="G470" s="4">
        <v>1</v>
      </c>
      <c r="H470" s="4" t="s">
        <v>376</v>
      </c>
      <c r="I470" s="4" t="s">
        <v>377</v>
      </c>
      <c r="J470" s="4" t="s">
        <v>378</v>
      </c>
      <c r="K470" s="4" t="s">
        <v>379</v>
      </c>
      <c r="L470" s="16" t="s">
        <v>382</v>
      </c>
    </row>
    <row r="471" spans="1:12" ht="15.75">
      <c r="A471" s="4" t="s">
        <v>118</v>
      </c>
      <c r="B471" s="4">
        <v>2005</v>
      </c>
      <c r="C471" s="4" t="s">
        <v>373</v>
      </c>
      <c r="D471" s="4" t="s">
        <v>383</v>
      </c>
      <c r="E471" s="4">
        <v>0.73037300000000005</v>
      </c>
      <c r="F471" s="4" t="s">
        <v>384</v>
      </c>
      <c r="G471" s="4">
        <v>1</v>
      </c>
      <c r="H471" s="4" t="s">
        <v>385</v>
      </c>
      <c r="I471" s="4" t="s">
        <v>377</v>
      </c>
      <c r="J471" s="4" t="s">
        <v>378</v>
      </c>
      <c r="K471" s="4" t="s">
        <v>379</v>
      </c>
      <c r="L471" s="16" t="s">
        <v>380</v>
      </c>
    </row>
    <row r="472" spans="1:12" ht="15.75">
      <c r="A472" s="4" t="s">
        <v>118</v>
      </c>
      <c r="B472" s="4">
        <v>2005</v>
      </c>
      <c r="C472" s="4" t="s">
        <v>373</v>
      </c>
      <c r="D472" s="4" t="s">
        <v>386</v>
      </c>
      <c r="E472" s="4">
        <v>0.78340600000000005</v>
      </c>
      <c r="F472" s="4" t="s">
        <v>384</v>
      </c>
      <c r="G472" s="4">
        <v>1</v>
      </c>
      <c r="H472" s="4" t="s">
        <v>385</v>
      </c>
      <c r="I472" s="4" t="s">
        <v>377</v>
      </c>
      <c r="J472" s="4" t="s">
        <v>378</v>
      </c>
      <c r="K472" s="4" t="s">
        <v>379</v>
      </c>
      <c r="L472" s="16" t="s">
        <v>382</v>
      </c>
    </row>
    <row r="473" spans="1:12" ht="15.75">
      <c r="A473" s="4" t="s">
        <v>118</v>
      </c>
      <c r="B473" s="4">
        <v>2007</v>
      </c>
      <c r="C473" s="4" t="s">
        <v>387</v>
      </c>
      <c r="D473" s="4" t="s">
        <v>374</v>
      </c>
      <c r="E473" s="4">
        <v>4.1046670000000001</v>
      </c>
      <c r="F473" s="4" t="s">
        <v>375</v>
      </c>
      <c r="G473" s="4">
        <v>1</v>
      </c>
      <c r="H473" s="4" t="s">
        <v>388</v>
      </c>
      <c r="I473" s="4" t="s">
        <v>377</v>
      </c>
      <c r="J473" s="4" t="s">
        <v>378</v>
      </c>
      <c r="K473" s="4" t="s">
        <v>379</v>
      </c>
      <c r="L473" s="16" t="s">
        <v>380</v>
      </c>
    </row>
    <row r="474" spans="1:12" ht="15.75">
      <c r="A474" s="4" t="s">
        <v>118</v>
      </c>
      <c r="B474" s="4">
        <v>2007</v>
      </c>
      <c r="C474" s="4" t="s">
        <v>387</v>
      </c>
      <c r="D474" s="4" t="s">
        <v>381</v>
      </c>
      <c r="E474" s="4">
        <v>4.3145439999999997</v>
      </c>
      <c r="F474" s="4" t="s">
        <v>375</v>
      </c>
      <c r="G474" s="4">
        <v>1</v>
      </c>
      <c r="H474" s="4" t="s">
        <v>388</v>
      </c>
      <c r="I474" s="4" t="s">
        <v>377</v>
      </c>
      <c r="J474" s="4" t="s">
        <v>378</v>
      </c>
      <c r="K474" s="4" t="s">
        <v>379</v>
      </c>
      <c r="L474" s="16" t="s">
        <v>382</v>
      </c>
    </row>
    <row r="475" spans="1:12" ht="15.75">
      <c r="A475" s="4" t="s">
        <v>118</v>
      </c>
      <c r="B475" s="4">
        <v>2007</v>
      </c>
      <c r="C475" s="4" t="s">
        <v>387</v>
      </c>
      <c r="D475" s="4" t="s">
        <v>383</v>
      </c>
      <c r="E475" s="4">
        <v>0.79240600000000005</v>
      </c>
      <c r="F475" s="4" t="s">
        <v>384</v>
      </c>
      <c r="G475" s="4">
        <v>1</v>
      </c>
      <c r="H475" s="4" t="s">
        <v>389</v>
      </c>
      <c r="I475" s="4" t="s">
        <v>377</v>
      </c>
      <c r="J475" s="4" t="s">
        <v>378</v>
      </c>
      <c r="K475" s="4" t="s">
        <v>379</v>
      </c>
      <c r="L475" s="16" t="s">
        <v>380</v>
      </c>
    </row>
    <row r="476" spans="1:12" ht="15.75">
      <c r="A476" s="4" t="s">
        <v>118</v>
      </c>
      <c r="B476" s="4">
        <v>2007</v>
      </c>
      <c r="C476" s="4" t="s">
        <v>387</v>
      </c>
      <c r="D476" s="4" t="s">
        <v>386</v>
      </c>
      <c r="E476" s="4">
        <v>0.85284199999999999</v>
      </c>
      <c r="F476" s="4" t="s">
        <v>384</v>
      </c>
      <c r="G476" s="4">
        <v>1</v>
      </c>
      <c r="H476" s="4" t="s">
        <v>389</v>
      </c>
      <c r="I476" s="4" t="s">
        <v>377</v>
      </c>
      <c r="J476" s="4" t="s">
        <v>378</v>
      </c>
      <c r="K476" s="4" t="s">
        <v>379</v>
      </c>
      <c r="L476" s="16" t="s">
        <v>382</v>
      </c>
    </row>
    <row r="477" spans="1:12" ht="15.75">
      <c r="A477" s="4" t="s">
        <v>118</v>
      </c>
      <c r="B477" s="4">
        <v>2009</v>
      </c>
      <c r="C477" s="4" t="s">
        <v>390</v>
      </c>
      <c r="D477" s="4" t="s">
        <v>374</v>
      </c>
      <c r="E477" s="4">
        <v>4.3876670000000004</v>
      </c>
      <c r="F477" s="4" t="s">
        <v>375</v>
      </c>
      <c r="G477" s="4">
        <v>1</v>
      </c>
      <c r="H477" s="4" t="s">
        <v>391</v>
      </c>
      <c r="I477" s="4" t="s">
        <v>377</v>
      </c>
      <c r="J477" s="4" t="s">
        <v>378</v>
      </c>
      <c r="K477" s="4" t="s">
        <v>379</v>
      </c>
      <c r="L477" s="16" t="s">
        <v>380</v>
      </c>
    </row>
    <row r="478" spans="1:12" ht="15.75">
      <c r="A478" s="4" t="s">
        <v>118</v>
      </c>
      <c r="B478" s="4">
        <v>2009</v>
      </c>
      <c r="C478" s="4" t="s">
        <v>390</v>
      </c>
      <c r="D478" s="4" t="s">
        <v>381</v>
      </c>
      <c r="E478" s="4">
        <v>4.4536990000000003</v>
      </c>
      <c r="F478" s="4" t="s">
        <v>375</v>
      </c>
      <c r="G478" s="4">
        <v>1</v>
      </c>
      <c r="H478" s="4" t="s">
        <v>391</v>
      </c>
      <c r="I478" s="4" t="s">
        <v>377</v>
      </c>
      <c r="J478" s="4" t="s">
        <v>378</v>
      </c>
      <c r="K478" s="4" t="s">
        <v>379</v>
      </c>
      <c r="L478" s="16" t="s">
        <v>382</v>
      </c>
    </row>
    <row r="479" spans="1:12" ht="15.75">
      <c r="A479" s="4" t="s">
        <v>118</v>
      </c>
      <c r="B479" s="4">
        <v>2009</v>
      </c>
      <c r="C479" s="4" t="s">
        <v>390</v>
      </c>
      <c r="D479" s="4" t="s">
        <v>383</v>
      </c>
      <c r="E479" s="4">
        <v>0.79591699999999999</v>
      </c>
      <c r="F479" s="4" t="s">
        <v>384</v>
      </c>
      <c r="G479" s="4">
        <v>1</v>
      </c>
      <c r="H479" s="4" t="s">
        <v>392</v>
      </c>
      <c r="I479" s="4" t="s">
        <v>377</v>
      </c>
      <c r="J479" s="4" t="s">
        <v>378</v>
      </c>
      <c r="K479" s="4" t="s">
        <v>379</v>
      </c>
      <c r="L479" s="16" t="s">
        <v>380</v>
      </c>
    </row>
    <row r="480" spans="1:12" ht="15.75">
      <c r="A480" s="4" t="s">
        <v>118</v>
      </c>
      <c r="B480" s="4">
        <v>2009</v>
      </c>
      <c r="C480" s="4" t="s">
        <v>390</v>
      </c>
      <c r="D480" s="4" t="s">
        <v>386</v>
      </c>
      <c r="E480" s="4">
        <v>0.872112</v>
      </c>
      <c r="F480" s="4" t="s">
        <v>384</v>
      </c>
      <c r="G480" s="4">
        <v>1</v>
      </c>
      <c r="H480" s="4" t="s">
        <v>392</v>
      </c>
      <c r="I480" s="4" t="s">
        <v>377</v>
      </c>
      <c r="J480" s="4" t="s">
        <v>378</v>
      </c>
      <c r="K480" s="4" t="s">
        <v>379</v>
      </c>
      <c r="L480" s="16" t="s">
        <v>382</v>
      </c>
    </row>
    <row r="481" spans="1:12" ht="36">
      <c r="A481" s="4" t="s">
        <v>118</v>
      </c>
      <c r="B481" s="4">
        <v>2010</v>
      </c>
      <c r="C481" s="4" t="s">
        <v>393</v>
      </c>
      <c r="D481" s="4" t="s">
        <v>394</v>
      </c>
      <c r="E481" s="4">
        <v>2151334.9190000002</v>
      </c>
      <c r="F481" s="4" t="s">
        <v>395</v>
      </c>
      <c r="G481" s="4">
        <v>1000</v>
      </c>
      <c r="H481" s="4" t="s">
        <v>396</v>
      </c>
      <c r="I481" s="4" t="s">
        <v>397</v>
      </c>
      <c r="J481" s="4" t="s">
        <v>135</v>
      </c>
      <c r="K481" s="4" t="s">
        <v>398</v>
      </c>
      <c r="L481" s="16" t="s">
        <v>399</v>
      </c>
    </row>
    <row r="482" spans="1:12" ht="36">
      <c r="A482" s="4" t="s">
        <v>118</v>
      </c>
      <c r="B482" s="4">
        <v>2010</v>
      </c>
      <c r="C482" s="4" t="s">
        <v>393</v>
      </c>
      <c r="D482" s="4" t="s">
        <v>400</v>
      </c>
      <c r="E482" s="4">
        <v>8607.5400000000009</v>
      </c>
      <c r="F482" s="4" t="s">
        <v>401</v>
      </c>
      <c r="G482" s="4">
        <v>1</v>
      </c>
      <c r="H482" s="4" t="s">
        <v>402</v>
      </c>
      <c r="I482" s="4" t="s">
        <v>403</v>
      </c>
      <c r="J482" s="4" t="s">
        <v>135</v>
      </c>
      <c r="K482" s="4" t="s">
        <v>404</v>
      </c>
      <c r="L482" s="16" t="s">
        <v>399</v>
      </c>
    </row>
    <row r="483" spans="1:12" ht="15.75">
      <c r="A483" s="4" t="s">
        <v>118</v>
      </c>
      <c r="B483" s="4">
        <v>2011</v>
      </c>
      <c r="C483" s="4" t="s">
        <v>405</v>
      </c>
      <c r="D483" s="4" t="s">
        <v>374</v>
      </c>
      <c r="E483" s="4">
        <v>4.321167</v>
      </c>
      <c r="F483" s="4" t="s">
        <v>375</v>
      </c>
      <c r="G483" s="4">
        <v>1</v>
      </c>
      <c r="H483" s="4" t="s">
        <v>406</v>
      </c>
      <c r="I483" s="4" t="s">
        <v>377</v>
      </c>
      <c r="J483" s="4" t="s">
        <v>378</v>
      </c>
      <c r="K483" s="4" t="s">
        <v>379</v>
      </c>
      <c r="L483" s="16" t="s">
        <v>380</v>
      </c>
    </row>
    <row r="484" spans="1:12" ht="15.75">
      <c r="A484" s="4" t="s">
        <v>118</v>
      </c>
      <c r="B484" s="4">
        <v>2011</v>
      </c>
      <c r="C484" s="4" t="s">
        <v>405</v>
      </c>
      <c r="D484" s="4" t="s">
        <v>381</v>
      </c>
      <c r="E484" s="4">
        <v>4.7008989999999997</v>
      </c>
      <c r="F484" s="4" t="s">
        <v>375</v>
      </c>
      <c r="G484" s="4">
        <v>1</v>
      </c>
      <c r="H484" s="4" t="s">
        <v>406</v>
      </c>
      <c r="I484" s="4" t="s">
        <v>377</v>
      </c>
      <c r="J484" s="4" t="s">
        <v>378</v>
      </c>
      <c r="K484" s="4" t="s">
        <v>379</v>
      </c>
      <c r="L484" s="16" t="s">
        <v>382</v>
      </c>
    </row>
    <row r="485" spans="1:12" ht="15.75">
      <c r="A485" s="4" t="s">
        <v>118</v>
      </c>
      <c r="B485" s="4">
        <v>2011</v>
      </c>
      <c r="C485" s="4" t="s">
        <v>405</v>
      </c>
      <c r="D485" s="4" t="s">
        <v>383</v>
      </c>
      <c r="E485" s="4">
        <v>0.80950800000000001</v>
      </c>
      <c r="F485" s="4" t="s">
        <v>384</v>
      </c>
      <c r="G485" s="4">
        <v>1</v>
      </c>
      <c r="H485" s="4" t="s">
        <v>407</v>
      </c>
      <c r="I485" s="4" t="s">
        <v>377</v>
      </c>
      <c r="J485" s="4" t="s">
        <v>378</v>
      </c>
      <c r="K485" s="4" t="s">
        <v>379</v>
      </c>
      <c r="L485" s="16" t="s">
        <v>380</v>
      </c>
    </row>
    <row r="486" spans="1:12" ht="15.75">
      <c r="A486" s="4" t="s">
        <v>118</v>
      </c>
      <c r="B486" s="4">
        <v>2011</v>
      </c>
      <c r="C486" s="4" t="s">
        <v>405</v>
      </c>
      <c r="D486" s="4" t="s">
        <v>386</v>
      </c>
      <c r="E486" s="4">
        <v>0.88511499999999999</v>
      </c>
      <c r="F486" s="4" t="s">
        <v>384</v>
      </c>
      <c r="G486" s="4">
        <v>1</v>
      </c>
      <c r="H486" s="4" t="s">
        <v>407</v>
      </c>
      <c r="I486" s="4" t="s">
        <v>377</v>
      </c>
      <c r="J486" s="4" t="s">
        <v>378</v>
      </c>
      <c r="K486" s="4" t="s">
        <v>379</v>
      </c>
      <c r="L486" s="16" t="s">
        <v>382</v>
      </c>
    </row>
    <row r="487" spans="1:12" ht="36">
      <c r="A487" s="4" t="s">
        <v>118</v>
      </c>
      <c r="B487" s="4">
        <v>2011</v>
      </c>
      <c r="C487" s="4" t="s">
        <v>405</v>
      </c>
      <c r="D487" s="4" t="s">
        <v>394</v>
      </c>
      <c r="E487" s="4">
        <v>2475504.4640000002</v>
      </c>
      <c r="F487" s="4" t="s">
        <v>395</v>
      </c>
      <c r="G487" s="4">
        <v>1000</v>
      </c>
      <c r="H487" s="4" t="s">
        <v>396</v>
      </c>
      <c r="I487" s="4" t="s">
        <v>397</v>
      </c>
      <c r="J487" s="4" t="s">
        <v>135</v>
      </c>
      <c r="K487" s="4" t="s">
        <v>398</v>
      </c>
      <c r="L487" s="16" t="s">
        <v>399</v>
      </c>
    </row>
    <row r="488" spans="1:12" ht="36">
      <c r="A488" s="4" t="s">
        <v>118</v>
      </c>
      <c r="B488" s="4">
        <v>2011</v>
      </c>
      <c r="C488" s="4" t="s">
        <v>405</v>
      </c>
      <c r="D488" s="4" t="s">
        <v>400</v>
      </c>
      <c r="E488" s="4">
        <v>9790.76</v>
      </c>
      <c r="F488" s="4" t="s">
        <v>401</v>
      </c>
      <c r="G488" s="4">
        <v>1</v>
      </c>
      <c r="H488" s="4" t="s">
        <v>402</v>
      </c>
      <c r="I488" s="4" t="s">
        <v>403</v>
      </c>
      <c r="J488" s="4" t="s">
        <v>135</v>
      </c>
      <c r="K488" s="4" t="s">
        <v>404</v>
      </c>
      <c r="L488" s="16" t="s">
        <v>399</v>
      </c>
    </row>
    <row r="489" spans="1:12" ht="36">
      <c r="A489" s="4" t="s">
        <v>118</v>
      </c>
      <c r="B489" s="4">
        <v>2012</v>
      </c>
      <c r="C489" s="4" t="s">
        <v>408</v>
      </c>
      <c r="D489" s="4" t="s">
        <v>394</v>
      </c>
      <c r="E489" s="4">
        <v>2829795.63</v>
      </c>
      <c r="F489" s="4" t="s">
        <v>395</v>
      </c>
      <c r="G489" s="4">
        <v>1000</v>
      </c>
      <c r="H489" s="4" t="s">
        <v>396</v>
      </c>
      <c r="I489" s="4" t="s">
        <v>397</v>
      </c>
      <c r="J489" s="4" t="s">
        <v>135</v>
      </c>
      <c r="K489" s="4" t="s">
        <v>398</v>
      </c>
      <c r="L489" s="16" t="s">
        <v>399</v>
      </c>
    </row>
    <row r="490" spans="1:12" ht="36">
      <c r="A490" s="4" t="s">
        <v>118</v>
      </c>
      <c r="B490" s="4">
        <v>2012</v>
      </c>
      <c r="C490" s="4" t="s">
        <v>408</v>
      </c>
      <c r="D490" s="4" t="s">
        <v>400</v>
      </c>
      <c r="E490" s="4">
        <v>11069.11</v>
      </c>
      <c r="F490" s="4" t="s">
        <v>401</v>
      </c>
      <c r="G490" s="4">
        <v>1</v>
      </c>
      <c r="H490" s="4" t="s">
        <v>402</v>
      </c>
      <c r="I490" s="4" t="s">
        <v>403</v>
      </c>
      <c r="J490" s="4" t="s">
        <v>135</v>
      </c>
      <c r="K490" s="4" t="s">
        <v>404</v>
      </c>
      <c r="L490" s="16" t="s">
        <v>399</v>
      </c>
    </row>
    <row r="491" spans="1:12" ht="15.75">
      <c r="A491" s="4" t="s">
        <v>118</v>
      </c>
      <c r="B491" s="4">
        <v>2013</v>
      </c>
      <c r="C491" s="4" t="s">
        <v>409</v>
      </c>
      <c r="D491" s="4" t="s">
        <v>374</v>
      </c>
      <c r="E491" s="4">
        <v>4.4596669999999996</v>
      </c>
      <c r="F491" s="4" t="s">
        <v>375</v>
      </c>
      <c r="G491" s="4">
        <v>1</v>
      </c>
      <c r="H491" s="4" t="s">
        <v>410</v>
      </c>
      <c r="I491" s="4" t="s">
        <v>377</v>
      </c>
      <c r="J491" s="4" t="s">
        <v>378</v>
      </c>
      <c r="K491" s="4" t="s">
        <v>379</v>
      </c>
      <c r="L491" s="16" t="s">
        <v>380</v>
      </c>
    </row>
    <row r="492" spans="1:12" ht="15.75">
      <c r="A492" s="4" t="s">
        <v>118</v>
      </c>
      <c r="B492" s="4">
        <v>2013</v>
      </c>
      <c r="C492" s="4" t="s">
        <v>409</v>
      </c>
      <c r="D492" s="4" t="s">
        <v>381</v>
      </c>
      <c r="E492" s="4">
        <v>4.6166159999999996</v>
      </c>
      <c r="F492" s="4" t="s">
        <v>375</v>
      </c>
      <c r="G492" s="4">
        <v>1</v>
      </c>
      <c r="H492" s="4" t="s">
        <v>410</v>
      </c>
      <c r="I492" s="4" t="s">
        <v>377</v>
      </c>
      <c r="J492" s="4" t="s">
        <v>378</v>
      </c>
      <c r="K492" s="4" t="s">
        <v>379</v>
      </c>
      <c r="L492" s="16" t="s">
        <v>382</v>
      </c>
    </row>
    <row r="493" spans="1:12" ht="15.75">
      <c r="A493" s="4" t="s">
        <v>118</v>
      </c>
      <c r="B493" s="4">
        <v>2013</v>
      </c>
      <c r="C493" s="4" t="s">
        <v>409</v>
      </c>
      <c r="D493" s="4" t="s">
        <v>383</v>
      </c>
      <c r="E493" s="4">
        <v>0.80941300000000005</v>
      </c>
      <c r="F493" s="4" t="s">
        <v>384</v>
      </c>
      <c r="G493" s="4">
        <v>1</v>
      </c>
      <c r="H493" s="4" t="s">
        <v>411</v>
      </c>
      <c r="I493" s="4" t="s">
        <v>377</v>
      </c>
      <c r="J493" s="4" t="s">
        <v>378</v>
      </c>
      <c r="K493" s="4" t="s">
        <v>379</v>
      </c>
      <c r="L493" s="16" t="s">
        <v>380</v>
      </c>
    </row>
    <row r="494" spans="1:12" ht="15.75">
      <c r="A494" s="4" t="s">
        <v>118</v>
      </c>
      <c r="B494" s="4">
        <v>2013</v>
      </c>
      <c r="C494" s="4" t="s">
        <v>409</v>
      </c>
      <c r="D494" s="4" t="s">
        <v>386</v>
      </c>
      <c r="E494" s="4">
        <v>0.90210500000000005</v>
      </c>
      <c r="F494" s="4" t="s">
        <v>384</v>
      </c>
      <c r="G494" s="4">
        <v>1</v>
      </c>
      <c r="H494" s="4" t="s">
        <v>411</v>
      </c>
      <c r="I494" s="4" t="s">
        <v>377</v>
      </c>
      <c r="J494" s="4" t="s">
        <v>378</v>
      </c>
      <c r="K494" s="4" t="s">
        <v>379</v>
      </c>
      <c r="L494" s="16" t="s">
        <v>382</v>
      </c>
    </row>
    <row r="495" spans="1:12" ht="36">
      <c r="A495" s="4" t="s">
        <v>118</v>
      </c>
      <c r="B495" s="4">
        <v>2013</v>
      </c>
      <c r="C495" s="4" t="s">
        <v>409</v>
      </c>
      <c r="D495" s="4" t="s">
        <v>394</v>
      </c>
      <c r="E495" s="4">
        <v>3232446.0440000002</v>
      </c>
      <c r="F495" s="4" t="s">
        <v>395</v>
      </c>
      <c r="G495" s="4">
        <v>1000</v>
      </c>
      <c r="H495" s="4" t="s">
        <v>396</v>
      </c>
      <c r="I495" s="4" t="s">
        <v>397</v>
      </c>
      <c r="J495" s="4" t="s">
        <v>135</v>
      </c>
      <c r="K495" s="4" t="s">
        <v>398</v>
      </c>
      <c r="L495" s="16" t="s">
        <v>399</v>
      </c>
    </row>
    <row r="496" spans="1:12" ht="36">
      <c r="A496" s="4" t="s">
        <v>118</v>
      </c>
      <c r="B496" s="4">
        <v>2013</v>
      </c>
      <c r="C496" s="4" t="s">
        <v>409</v>
      </c>
      <c r="D496" s="4" t="s">
        <v>400</v>
      </c>
      <c r="E496" s="4">
        <v>12371.15</v>
      </c>
      <c r="F496" s="4" t="s">
        <v>401</v>
      </c>
      <c r="G496" s="4">
        <v>1</v>
      </c>
      <c r="H496" s="4" t="s">
        <v>402</v>
      </c>
      <c r="I496" s="4" t="s">
        <v>403</v>
      </c>
      <c r="J496" s="4" t="s">
        <v>135</v>
      </c>
      <c r="K496" s="4" t="s">
        <v>404</v>
      </c>
      <c r="L496" s="16" t="s">
        <v>399</v>
      </c>
    </row>
    <row r="497" spans="1:12" ht="36">
      <c r="A497" s="4" t="s">
        <v>118</v>
      </c>
      <c r="B497" s="4">
        <v>2014</v>
      </c>
      <c r="C497" s="4" t="s">
        <v>412</v>
      </c>
      <c r="D497" s="4" t="s">
        <v>394</v>
      </c>
      <c r="E497" s="4">
        <v>3819081.571</v>
      </c>
      <c r="F497" s="4" t="s">
        <v>395</v>
      </c>
      <c r="G497" s="4">
        <v>1000</v>
      </c>
      <c r="H497" s="4" t="s">
        <v>396</v>
      </c>
      <c r="I497" s="4" t="s">
        <v>397</v>
      </c>
      <c r="J497" s="4" t="s">
        <v>135</v>
      </c>
      <c r="K497" s="4" t="s">
        <v>398</v>
      </c>
      <c r="L497" s="16" t="s">
        <v>399</v>
      </c>
    </row>
    <row r="498" spans="1:12" ht="36">
      <c r="A498" s="4" t="s">
        <v>118</v>
      </c>
      <c r="B498" s="4">
        <v>2014</v>
      </c>
      <c r="C498" s="4" t="s">
        <v>412</v>
      </c>
      <c r="D498" s="4" t="s">
        <v>400</v>
      </c>
      <c r="E498" s="4">
        <v>14482.46</v>
      </c>
      <c r="F498" s="4" t="s">
        <v>401</v>
      </c>
      <c r="G498" s="4">
        <v>1</v>
      </c>
      <c r="H498" s="4" t="s">
        <v>402</v>
      </c>
      <c r="I498" s="4" t="s">
        <v>403</v>
      </c>
      <c r="J498" s="4" t="s">
        <v>135</v>
      </c>
      <c r="K498" s="4" t="s">
        <v>404</v>
      </c>
      <c r="L498" s="16" t="s">
        <v>399</v>
      </c>
    </row>
    <row r="499" spans="1:12" ht="15.75">
      <c r="A499" s="4" t="s">
        <v>118</v>
      </c>
      <c r="B499" s="4">
        <v>2015</v>
      </c>
      <c r="C499" s="4" t="s">
        <v>413</v>
      </c>
      <c r="D499" s="4" t="s">
        <v>374</v>
      </c>
      <c r="E499" s="4">
        <v>5.1043329999999996</v>
      </c>
      <c r="F499" s="4" t="s">
        <v>375</v>
      </c>
      <c r="G499" s="4">
        <v>1</v>
      </c>
      <c r="H499" s="4" t="s">
        <v>414</v>
      </c>
      <c r="I499" s="4" t="s">
        <v>377</v>
      </c>
      <c r="J499" s="4" t="s">
        <v>378</v>
      </c>
      <c r="K499" s="4" t="s">
        <v>379</v>
      </c>
      <c r="L499" s="16" t="s">
        <v>380</v>
      </c>
    </row>
    <row r="500" spans="1:12" ht="15.75">
      <c r="A500" s="4" t="s">
        <v>118</v>
      </c>
      <c r="B500" s="4">
        <v>2015</v>
      </c>
      <c r="C500" s="4" t="s">
        <v>413</v>
      </c>
      <c r="D500" s="4" t="s">
        <v>381</v>
      </c>
      <c r="E500" s="4">
        <v>5.3032069999999996</v>
      </c>
      <c r="F500" s="4" t="s">
        <v>375</v>
      </c>
      <c r="G500" s="4">
        <v>1</v>
      </c>
      <c r="H500" s="4" t="s">
        <v>414</v>
      </c>
      <c r="I500" s="4" t="s">
        <v>377</v>
      </c>
      <c r="J500" s="4" t="s">
        <v>378</v>
      </c>
      <c r="K500" s="4" t="s">
        <v>379</v>
      </c>
      <c r="L500" s="16" t="s">
        <v>382</v>
      </c>
    </row>
    <row r="501" spans="1:12" ht="15.75">
      <c r="A501" s="4" t="s">
        <v>118</v>
      </c>
      <c r="B501" s="4">
        <v>2015</v>
      </c>
      <c r="C501" s="4" t="s">
        <v>413</v>
      </c>
      <c r="D501" s="4" t="s">
        <v>383</v>
      </c>
      <c r="E501" s="4">
        <v>0.83511100000000005</v>
      </c>
      <c r="F501" s="4" t="s">
        <v>384</v>
      </c>
      <c r="G501" s="4">
        <v>1</v>
      </c>
      <c r="H501" s="4" t="s">
        <v>415</v>
      </c>
      <c r="I501" s="4" t="s">
        <v>377</v>
      </c>
      <c r="J501" s="4" t="s">
        <v>378</v>
      </c>
      <c r="K501" s="4" t="s">
        <v>379</v>
      </c>
      <c r="L501" s="16" t="s">
        <v>380</v>
      </c>
    </row>
    <row r="502" spans="1:12" ht="15.75">
      <c r="A502" s="4" t="s">
        <v>118</v>
      </c>
      <c r="B502" s="4">
        <v>2015</v>
      </c>
      <c r="C502" s="4" t="s">
        <v>413</v>
      </c>
      <c r="D502" s="4" t="s">
        <v>386</v>
      </c>
      <c r="E502" s="4">
        <v>0.92276599999999998</v>
      </c>
      <c r="F502" s="4" t="s">
        <v>384</v>
      </c>
      <c r="G502" s="4">
        <v>1</v>
      </c>
      <c r="H502" s="4" t="s">
        <v>415</v>
      </c>
      <c r="I502" s="4" t="s">
        <v>377</v>
      </c>
      <c r="J502" s="4" t="s">
        <v>378</v>
      </c>
      <c r="K502" s="4" t="s">
        <v>379</v>
      </c>
      <c r="L502" s="16" t="s">
        <v>382</v>
      </c>
    </row>
    <row r="503" spans="1:12" ht="36">
      <c r="A503" s="4" t="s">
        <v>118</v>
      </c>
      <c r="B503" s="4">
        <v>2015</v>
      </c>
      <c r="C503" s="4" t="s">
        <v>413</v>
      </c>
      <c r="D503" s="4" t="s">
        <v>394</v>
      </c>
      <c r="E503" s="4">
        <v>3921616.173</v>
      </c>
      <c r="F503" s="4" t="s">
        <v>395</v>
      </c>
      <c r="G503" s="4">
        <v>1000</v>
      </c>
      <c r="H503" s="4" t="s">
        <v>396</v>
      </c>
      <c r="I503" s="4" t="s">
        <v>397</v>
      </c>
      <c r="J503" s="4" t="s">
        <v>135</v>
      </c>
      <c r="K503" s="4" t="s">
        <v>398</v>
      </c>
      <c r="L503" s="16" t="s">
        <v>399</v>
      </c>
    </row>
    <row r="504" spans="1:12" ht="36">
      <c r="A504" s="4" t="s">
        <v>118</v>
      </c>
      <c r="B504" s="4">
        <v>2015</v>
      </c>
      <c r="C504" s="4" t="s">
        <v>413</v>
      </c>
      <c r="D504" s="4" t="s">
        <v>400</v>
      </c>
      <c r="E504" s="4">
        <v>14741.7</v>
      </c>
      <c r="F504" s="4" t="s">
        <v>401</v>
      </c>
      <c r="G504" s="4">
        <v>1</v>
      </c>
      <c r="H504" s="4" t="s">
        <v>402</v>
      </c>
      <c r="I504" s="4" t="s">
        <v>403</v>
      </c>
      <c r="J504" s="4" t="s">
        <v>135</v>
      </c>
      <c r="K504" s="4" t="s">
        <v>404</v>
      </c>
      <c r="L504" s="16" t="s">
        <v>399</v>
      </c>
    </row>
    <row r="505" spans="1:12" ht="24">
      <c r="A505" s="4" t="s">
        <v>118</v>
      </c>
      <c r="B505" s="4">
        <v>2016</v>
      </c>
      <c r="C505" s="4" t="s">
        <v>130</v>
      </c>
      <c r="D505" s="4" t="s">
        <v>416</v>
      </c>
      <c r="E505" s="4">
        <v>46440357.990000002</v>
      </c>
      <c r="F505" s="4" t="s">
        <v>417</v>
      </c>
      <c r="G505" s="4">
        <v>1</v>
      </c>
      <c r="H505" s="4" t="s">
        <v>418</v>
      </c>
      <c r="I505" s="4" t="s">
        <v>419</v>
      </c>
      <c r="J505" s="4" t="s">
        <v>135</v>
      </c>
      <c r="K505" s="4" t="s">
        <v>420</v>
      </c>
      <c r="L505" s="16" t="s">
        <v>537</v>
      </c>
    </row>
    <row r="506" spans="1:12" ht="24">
      <c r="A506" s="4" t="s">
        <v>118</v>
      </c>
      <c r="B506" s="4">
        <v>2016</v>
      </c>
      <c r="C506" s="4" t="s">
        <v>130</v>
      </c>
      <c r="D506" s="4" t="s">
        <v>422</v>
      </c>
      <c r="E506" s="4">
        <v>52.59</v>
      </c>
      <c r="F506" s="4" t="s">
        <v>423</v>
      </c>
      <c r="G506" s="4">
        <v>1</v>
      </c>
      <c r="H506" s="4" t="s">
        <v>424</v>
      </c>
      <c r="I506" s="4" t="s">
        <v>425</v>
      </c>
      <c r="J506" s="4" t="s">
        <v>135</v>
      </c>
      <c r="K506" s="4" t="s">
        <v>426</v>
      </c>
      <c r="L506" s="16" t="s">
        <v>538</v>
      </c>
    </row>
    <row r="507" spans="1:12" ht="24">
      <c r="A507" s="4" t="s">
        <v>118</v>
      </c>
      <c r="B507" s="4">
        <v>2016</v>
      </c>
      <c r="C507" s="4" t="s">
        <v>130</v>
      </c>
      <c r="D507" s="4" t="s">
        <v>428</v>
      </c>
      <c r="E507" s="4">
        <v>30411019.329999998</v>
      </c>
      <c r="F507" s="4" t="s">
        <v>417</v>
      </c>
      <c r="G507" s="4">
        <v>1</v>
      </c>
      <c r="H507" s="4" t="s">
        <v>429</v>
      </c>
      <c r="I507" s="4" t="s">
        <v>430</v>
      </c>
      <c r="J507" s="4" t="s">
        <v>431</v>
      </c>
      <c r="K507" s="4" t="s">
        <v>432</v>
      </c>
      <c r="L507" s="16" t="s">
        <v>537</v>
      </c>
    </row>
    <row r="508" spans="1:12" ht="15.75">
      <c r="A508" s="4" t="s">
        <v>118</v>
      </c>
      <c r="B508" s="4">
        <v>2016</v>
      </c>
      <c r="C508" s="4" t="s">
        <v>130</v>
      </c>
      <c r="D508" s="4" t="s">
        <v>433</v>
      </c>
      <c r="E508" s="4">
        <v>465482053.88999999</v>
      </c>
      <c r="F508" s="4" t="s">
        <v>417</v>
      </c>
      <c r="G508" s="4">
        <v>1</v>
      </c>
      <c r="H508" s="4" t="s">
        <v>434</v>
      </c>
      <c r="I508" s="4" t="s">
        <v>435</v>
      </c>
      <c r="J508" s="4" t="s">
        <v>135</v>
      </c>
      <c r="K508" s="4" t="s">
        <v>436</v>
      </c>
      <c r="L508" s="16" t="s">
        <v>539</v>
      </c>
    </row>
    <row r="509" spans="1:12" ht="15.75">
      <c r="A509" s="4" t="s">
        <v>118</v>
      </c>
      <c r="B509" s="4">
        <v>2016</v>
      </c>
      <c r="C509" s="4" t="s">
        <v>130</v>
      </c>
      <c r="D509" s="4" t="s">
        <v>438</v>
      </c>
      <c r="E509" s="4">
        <v>460281676.97000003</v>
      </c>
      <c r="F509" s="4" t="s">
        <v>417</v>
      </c>
      <c r="G509" s="4">
        <v>1</v>
      </c>
      <c r="H509" s="4" t="s">
        <v>439</v>
      </c>
      <c r="I509" s="4" t="s">
        <v>435</v>
      </c>
      <c r="J509" s="4" t="s">
        <v>135</v>
      </c>
      <c r="K509" s="4" t="s">
        <v>436</v>
      </c>
      <c r="L509" s="16" t="s">
        <v>539</v>
      </c>
    </row>
    <row r="510" spans="1:12" ht="15.75">
      <c r="A510" s="4" t="s">
        <v>118</v>
      </c>
      <c r="B510" s="4">
        <v>2016</v>
      </c>
      <c r="C510" s="4" t="s">
        <v>130</v>
      </c>
      <c r="D510" s="4" t="s">
        <v>440</v>
      </c>
      <c r="E510" s="4">
        <v>421335376.25</v>
      </c>
      <c r="F510" s="4" t="s">
        <v>417</v>
      </c>
      <c r="G510" s="4">
        <v>1</v>
      </c>
      <c r="H510" s="4" t="s">
        <v>441</v>
      </c>
      <c r="I510" s="4" t="s">
        <v>435</v>
      </c>
      <c r="J510" s="4" t="s">
        <v>135</v>
      </c>
      <c r="K510" s="4" t="s">
        <v>436</v>
      </c>
      <c r="L510" s="16" t="s">
        <v>539</v>
      </c>
    </row>
    <row r="511" spans="1:12" ht="24">
      <c r="A511" s="4" t="s">
        <v>118</v>
      </c>
      <c r="B511" s="4">
        <v>2016</v>
      </c>
      <c r="C511" s="4" t="s">
        <v>130</v>
      </c>
      <c r="D511" s="4" t="s">
        <v>442</v>
      </c>
      <c r="E511" s="4">
        <v>230651664.72999999</v>
      </c>
      <c r="F511" s="4" t="s">
        <v>417</v>
      </c>
      <c r="G511" s="4">
        <v>1</v>
      </c>
      <c r="H511" s="4" t="s">
        <v>443</v>
      </c>
      <c r="I511" s="4" t="s">
        <v>425</v>
      </c>
      <c r="J511" s="4" t="s">
        <v>135</v>
      </c>
      <c r="K511" s="4" t="s">
        <v>444</v>
      </c>
      <c r="L511" s="16" t="s">
        <v>538</v>
      </c>
    </row>
    <row r="512" spans="1:12" ht="36">
      <c r="A512" s="4" t="s">
        <v>118</v>
      </c>
      <c r="B512" s="4">
        <v>2016</v>
      </c>
      <c r="C512" s="4" t="s">
        <v>130</v>
      </c>
      <c r="D512" s="4" t="s">
        <v>394</v>
      </c>
      <c r="E512" s="4">
        <v>4183987.2760000001</v>
      </c>
      <c r="F512" s="4" t="s">
        <v>395</v>
      </c>
      <c r="G512" s="4">
        <v>1000</v>
      </c>
      <c r="H512" s="4" t="s">
        <v>396</v>
      </c>
      <c r="I512" s="4" t="s">
        <v>397</v>
      </c>
      <c r="J512" s="4" t="s">
        <v>135</v>
      </c>
      <c r="K512" s="4" t="s">
        <v>398</v>
      </c>
      <c r="L512" s="16" t="s">
        <v>399</v>
      </c>
    </row>
    <row r="513" spans="1:12" ht="36">
      <c r="A513" s="4" t="s">
        <v>118</v>
      </c>
      <c r="B513" s="4">
        <v>2016</v>
      </c>
      <c r="C513" s="4" t="s">
        <v>130</v>
      </c>
      <c r="D513" s="4" t="s">
        <v>400</v>
      </c>
      <c r="E513" s="4">
        <v>15597.46</v>
      </c>
      <c r="F513" s="4" t="s">
        <v>401</v>
      </c>
      <c r="G513" s="4">
        <v>1</v>
      </c>
      <c r="H513" s="4" t="s">
        <v>402</v>
      </c>
      <c r="I513" s="4" t="s">
        <v>403</v>
      </c>
      <c r="J513" s="4" t="s">
        <v>135</v>
      </c>
      <c r="K513" s="4" t="s">
        <v>404</v>
      </c>
      <c r="L513" s="16" t="s">
        <v>399</v>
      </c>
    </row>
    <row r="514" spans="1:12" ht="15.75">
      <c r="A514" s="4" t="s">
        <v>118</v>
      </c>
      <c r="B514" s="4">
        <v>2016</v>
      </c>
      <c r="C514" s="4" t="s">
        <v>130</v>
      </c>
      <c r="D514" s="4" t="s">
        <v>445</v>
      </c>
      <c r="E514" s="4">
        <v>268248</v>
      </c>
      <c r="F514" s="4" t="s">
        <v>446</v>
      </c>
      <c r="G514" s="4">
        <v>1</v>
      </c>
      <c r="H514" s="4" t="s">
        <v>447</v>
      </c>
      <c r="I514" s="4" t="s">
        <v>448</v>
      </c>
      <c r="J514" s="4" t="s">
        <v>449</v>
      </c>
      <c r="K514" s="4" t="s">
        <v>450</v>
      </c>
      <c r="L514" s="16" t="s">
        <v>540</v>
      </c>
    </row>
    <row r="515" spans="1:12" ht="15.75">
      <c r="A515" s="4" t="s">
        <v>118</v>
      </c>
      <c r="B515" s="4">
        <v>2016</v>
      </c>
      <c r="C515" s="4" t="s">
        <v>130</v>
      </c>
      <c r="D515" s="4" t="s">
        <v>452</v>
      </c>
      <c r="E515" s="4">
        <v>438548398.62</v>
      </c>
      <c r="F515" s="4" t="s">
        <v>417</v>
      </c>
      <c r="G515" s="4">
        <v>1</v>
      </c>
      <c r="H515" s="4" t="s">
        <v>453</v>
      </c>
      <c r="I515" s="4" t="s">
        <v>454</v>
      </c>
      <c r="J515" s="4" t="s">
        <v>135</v>
      </c>
      <c r="K515" s="4" t="s">
        <v>455</v>
      </c>
      <c r="L515" s="16" t="s">
        <v>538</v>
      </c>
    </row>
    <row r="516" spans="1:12" ht="24">
      <c r="A516" s="4" t="s">
        <v>118</v>
      </c>
      <c r="B516" s="4">
        <v>2016</v>
      </c>
      <c r="C516" s="4" t="s">
        <v>130</v>
      </c>
      <c r="D516" s="4" t="s">
        <v>456</v>
      </c>
      <c r="E516" s="4"/>
      <c r="F516" s="4" t="s">
        <v>417</v>
      </c>
      <c r="G516" s="4">
        <v>1</v>
      </c>
      <c r="H516" s="4" t="s">
        <v>457</v>
      </c>
      <c r="I516" s="4"/>
      <c r="J516" s="4" t="s">
        <v>458</v>
      </c>
      <c r="K516" s="4" t="s">
        <v>459</v>
      </c>
      <c r="L516" s="16" t="s">
        <v>538</v>
      </c>
    </row>
    <row r="517" spans="1:12" ht="15.75">
      <c r="A517" s="4" t="s">
        <v>118</v>
      </c>
      <c r="B517" s="4">
        <v>2016</v>
      </c>
      <c r="C517" s="4" t="s">
        <v>130</v>
      </c>
      <c r="D517" s="4" t="s">
        <v>460</v>
      </c>
      <c r="E517" s="4">
        <v>539074379</v>
      </c>
      <c r="F517" s="4" t="s">
        <v>417</v>
      </c>
      <c r="G517" s="4">
        <v>1</v>
      </c>
      <c r="H517" s="4" t="s">
        <v>461</v>
      </c>
      <c r="I517" s="4" t="s">
        <v>430</v>
      </c>
      <c r="J517" s="4" t="s">
        <v>135</v>
      </c>
      <c r="K517" s="4" t="s">
        <v>462</v>
      </c>
      <c r="L517" s="16" t="s">
        <v>537</v>
      </c>
    </row>
    <row r="518" spans="1:12" ht="36">
      <c r="A518" s="4" t="s">
        <v>118</v>
      </c>
      <c r="B518" s="4">
        <v>2016</v>
      </c>
      <c r="C518" s="4" t="s">
        <v>130</v>
      </c>
      <c r="D518" s="4" t="s">
        <v>463</v>
      </c>
      <c r="E518" s="4">
        <v>183102412.88999999</v>
      </c>
      <c r="F518" s="4" t="s">
        <v>417</v>
      </c>
      <c r="G518" s="4">
        <v>1</v>
      </c>
      <c r="H518" s="4" t="s">
        <v>464</v>
      </c>
      <c r="I518" s="4" t="s">
        <v>465</v>
      </c>
      <c r="J518" s="4" t="s">
        <v>135</v>
      </c>
      <c r="K518" s="4" t="s">
        <v>466</v>
      </c>
      <c r="L518" s="16" t="s">
        <v>537</v>
      </c>
    </row>
    <row r="519" spans="1:12" ht="36">
      <c r="A519" s="4" t="s">
        <v>118</v>
      </c>
      <c r="B519" s="4">
        <v>2016</v>
      </c>
      <c r="C519" s="4" t="s">
        <v>130</v>
      </c>
      <c r="D519" s="4" t="s">
        <v>467</v>
      </c>
      <c r="E519" s="4">
        <v>70828059.010000005</v>
      </c>
      <c r="F519" s="4" t="s">
        <v>417</v>
      </c>
      <c r="G519" s="4">
        <v>1</v>
      </c>
      <c r="H519" s="4" t="s">
        <v>468</v>
      </c>
      <c r="I519" s="4" t="s">
        <v>469</v>
      </c>
      <c r="J519" s="4" t="s">
        <v>135</v>
      </c>
      <c r="K519" s="4" t="s">
        <v>466</v>
      </c>
      <c r="L519" s="16" t="s">
        <v>537</v>
      </c>
    </row>
    <row r="520" spans="1:12" ht="24">
      <c r="A520" s="4" t="s">
        <v>118</v>
      </c>
      <c r="B520" s="4">
        <v>2017</v>
      </c>
      <c r="C520" s="4" t="s">
        <v>193</v>
      </c>
      <c r="D520" s="4" t="s">
        <v>416</v>
      </c>
      <c r="E520" s="4">
        <v>65336190.43</v>
      </c>
      <c r="F520" s="4" t="s">
        <v>417</v>
      </c>
      <c r="G520" s="4">
        <v>1</v>
      </c>
      <c r="H520" s="4" t="s">
        <v>418</v>
      </c>
      <c r="I520" s="4" t="s">
        <v>419</v>
      </c>
      <c r="J520" s="4" t="s">
        <v>135</v>
      </c>
      <c r="K520" s="4" t="s">
        <v>420</v>
      </c>
      <c r="L520" s="16" t="s">
        <v>541</v>
      </c>
    </row>
    <row r="521" spans="1:12" ht="24">
      <c r="A521" s="4" t="s">
        <v>118</v>
      </c>
      <c r="B521" s="4">
        <v>2017</v>
      </c>
      <c r="C521" s="4" t="s">
        <v>193</v>
      </c>
      <c r="D521" s="4" t="s">
        <v>422</v>
      </c>
      <c r="E521" s="4">
        <v>40.81</v>
      </c>
      <c r="F521" s="4" t="s">
        <v>423</v>
      </c>
      <c r="G521" s="4">
        <v>1</v>
      </c>
      <c r="H521" s="4" t="s">
        <v>471</v>
      </c>
      <c r="I521" s="4" t="s">
        <v>425</v>
      </c>
      <c r="J521" s="4" t="s">
        <v>135</v>
      </c>
      <c r="K521" s="4" t="s">
        <v>426</v>
      </c>
      <c r="L521" s="16" t="s">
        <v>542</v>
      </c>
    </row>
    <row r="522" spans="1:12" ht="24">
      <c r="A522" s="4" t="s">
        <v>118</v>
      </c>
      <c r="B522" s="4">
        <v>2017</v>
      </c>
      <c r="C522" s="4" t="s">
        <v>193</v>
      </c>
      <c r="D522" s="4" t="s">
        <v>428</v>
      </c>
      <c r="E522" s="4">
        <v>30687325.539999999</v>
      </c>
      <c r="F522" s="4" t="s">
        <v>417</v>
      </c>
      <c r="G522" s="4">
        <v>1</v>
      </c>
      <c r="H522" s="4" t="s">
        <v>429</v>
      </c>
      <c r="I522" s="4" t="s">
        <v>430</v>
      </c>
      <c r="J522" s="4" t="s">
        <v>431</v>
      </c>
      <c r="K522" s="4" t="s">
        <v>432</v>
      </c>
      <c r="L522" s="16" t="s">
        <v>541</v>
      </c>
    </row>
    <row r="523" spans="1:12" ht="15.75">
      <c r="A523" s="4" t="s">
        <v>118</v>
      </c>
      <c r="B523" s="4">
        <v>2017</v>
      </c>
      <c r="C523" s="4" t="s">
        <v>193</v>
      </c>
      <c r="D523" s="4" t="s">
        <v>433</v>
      </c>
      <c r="E523" s="4">
        <v>522709244.12</v>
      </c>
      <c r="F523" s="4" t="s">
        <v>417</v>
      </c>
      <c r="G523" s="4">
        <v>1</v>
      </c>
      <c r="H523" s="4" t="s">
        <v>434</v>
      </c>
      <c r="I523" s="4" t="s">
        <v>435</v>
      </c>
      <c r="J523" s="4" t="s">
        <v>135</v>
      </c>
      <c r="K523" s="4" t="s">
        <v>436</v>
      </c>
      <c r="L523" s="16" t="s">
        <v>543</v>
      </c>
    </row>
    <row r="524" spans="1:12" ht="15.75">
      <c r="A524" s="4" t="s">
        <v>118</v>
      </c>
      <c r="B524" s="4">
        <v>2017</v>
      </c>
      <c r="C524" s="4" t="s">
        <v>193</v>
      </c>
      <c r="D524" s="4" t="s">
        <v>438</v>
      </c>
      <c r="E524" s="4">
        <v>502254014.99000001</v>
      </c>
      <c r="F524" s="4" t="s">
        <v>417</v>
      </c>
      <c r="G524" s="4">
        <v>1</v>
      </c>
      <c r="H524" s="4" t="s">
        <v>439</v>
      </c>
      <c r="I524" s="4" t="s">
        <v>435</v>
      </c>
      <c r="J524" s="4" t="s">
        <v>135</v>
      </c>
      <c r="K524" s="4" t="s">
        <v>436</v>
      </c>
      <c r="L524" s="16" t="s">
        <v>543</v>
      </c>
    </row>
    <row r="525" spans="1:12" ht="15.75">
      <c r="A525" s="4" t="s">
        <v>118</v>
      </c>
      <c r="B525" s="4">
        <v>2017</v>
      </c>
      <c r="C525" s="4" t="s">
        <v>193</v>
      </c>
      <c r="D525" s="4" t="s">
        <v>440</v>
      </c>
      <c r="E525" s="4">
        <v>482496860.16000003</v>
      </c>
      <c r="F525" s="4" t="s">
        <v>417</v>
      </c>
      <c r="G525" s="4">
        <v>1</v>
      </c>
      <c r="H525" s="4" t="s">
        <v>441</v>
      </c>
      <c r="I525" s="4" t="s">
        <v>435</v>
      </c>
      <c r="J525" s="4" t="s">
        <v>135</v>
      </c>
      <c r="K525" s="4" t="s">
        <v>436</v>
      </c>
      <c r="L525" s="16" t="s">
        <v>543</v>
      </c>
    </row>
    <row r="526" spans="1:12" ht="24">
      <c r="A526" s="4" t="s">
        <v>118</v>
      </c>
      <c r="B526" s="4">
        <v>2017</v>
      </c>
      <c r="C526" s="4" t="s">
        <v>193</v>
      </c>
      <c r="D526" s="4" t="s">
        <v>442</v>
      </c>
      <c r="E526" s="4">
        <v>238920346.13999999</v>
      </c>
      <c r="F526" s="4" t="s">
        <v>417</v>
      </c>
      <c r="G526" s="4">
        <v>1</v>
      </c>
      <c r="H526" s="4" t="s">
        <v>474</v>
      </c>
      <c r="I526" s="4" t="s">
        <v>425</v>
      </c>
      <c r="J526" s="4" t="s">
        <v>135</v>
      </c>
      <c r="K526" s="4" t="s">
        <v>444</v>
      </c>
      <c r="L526" s="16" t="s">
        <v>542</v>
      </c>
    </row>
    <row r="527" spans="1:12" ht="15.75">
      <c r="A527" s="4" t="s">
        <v>118</v>
      </c>
      <c r="B527" s="4">
        <v>2017</v>
      </c>
      <c r="C527" s="4" t="s">
        <v>193</v>
      </c>
      <c r="D527" s="4" t="s">
        <v>374</v>
      </c>
      <c r="E527" s="4">
        <v>5.0309999999999997</v>
      </c>
      <c r="F527" s="4" t="s">
        <v>375</v>
      </c>
      <c r="G527" s="4">
        <v>1</v>
      </c>
      <c r="H527" s="4" t="s">
        <v>475</v>
      </c>
      <c r="I527" s="4" t="s">
        <v>377</v>
      </c>
      <c r="J527" s="4" t="s">
        <v>378</v>
      </c>
      <c r="K527" s="4" t="s">
        <v>379</v>
      </c>
      <c r="L527" s="16" t="s">
        <v>380</v>
      </c>
    </row>
    <row r="528" spans="1:12" ht="15.75">
      <c r="A528" s="4" t="s">
        <v>118</v>
      </c>
      <c r="B528" s="4">
        <v>2017</v>
      </c>
      <c r="C528" s="4" t="s">
        <v>193</v>
      </c>
      <c r="D528" s="4" t="s">
        <v>381</v>
      </c>
      <c r="E528" s="4">
        <v>5.3607860000000001</v>
      </c>
      <c r="F528" s="4" t="s">
        <v>375</v>
      </c>
      <c r="G528" s="4">
        <v>1</v>
      </c>
      <c r="H528" s="4" t="s">
        <v>475</v>
      </c>
      <c r="I528" s="4" t="s">
        <v>377</v>
      </c>
      <c r="J528" s="4" t="s">
        <v>378</v>
      </c>
      <c r="K528" s="4" t="s">
        <v>379</v>
      </c>
      <c r="L528" s="16" t="s">
        <v>382</v>
      </c>
    </row>
    <row r="529" spans="1:12" ht="15.75">
      <c r="A529" s="4" t="s">
        <v>118</v>
      </c>
      <c r="B529" s="4">
        <v>2017</v>
      </c>
      <c r="C529" s="4" t="s">
        <v>193</v>
      </c>
      <c r="D529" s="4" t="s">
        <v>383</v>
      </c>
      <c r="E529" s="4">
        <v>0.85812699999999997</v>
      </c>
      <c r="F529" s="4" t="s">
        <v>384</v>
      </c>
      <c r="G529" s="4">
        <v>1</v>
      </c>
      <c r="H529" s="4" t="s">
        <v>476</v>
      </c>
      <c r="I529" s="4" t="s">
        <v>377</v>
      </c>
      <c r="J529" s="4" t="s">
        <v>378</v>
      </c>
      <c r="K529" s="4" t="s">
        <v>379</v>
      </c>
      <c r="L529" s="16" t="s">
        <v>380</v>
      </c>
    </row>
    <row r="530" spans="1:12" ht="15.75">
      <c r="A530" s="4" t="s">
        <v>118</v>
      </c>
      <c r="B530" s="4">
        <v>2017</v>
      </c>
      <c r="C530" s="4" t="s">
        <v>193</v>
      </c>
      <c r="D530" s="4" t="s">
        <v>386</v>
      </c>
      <c r="E530" s="4">
        <v>0.93831299999999995</v>
      </c>
      <c r="F530" s="4" t="s">
        <v>384</v>
      </c>
      <c r="G530" s="4">
        <v>1</v>
      </c>
      <c r="H530" s="4" t="s">
        <v>476</v>
      </c>
      <c r="I530" s="4" t="s">
        <v>377</v>
      </c>
      <c r="J530" s="4" t="s">
        <v>378</v>
      </c>
      <c r="K530" s="4" t="s">
        <v>379</v>
      </c>
      <c r="L530" s="16" t="s">
        <v>382</v>
      </c>
    </row>
    <row r="531" spans="1:12" ht="36">
      <c r="A531" s="4" t="s">
        <v>118</v>
      </c>
      <c r="B531" s="4">
        <v>2017</v>
      </c>
      <c r="C531" s="4" t="s">
        <v>193</v>
      </c>
      <c r="D531" s="4" t="s">
        <v>394</v>
      </c>
      <c r="E531" s="4">
        <v>4428413.5049999999</v>
      </c>
      <c r="F531" s="4" t="s">
        <v>395</v>
      </c>
      <c r="G531" s="4">
        <v>1000</v>
      </c>
      <c r="H531" s="4" t="s">
        <v>396</v>
      </c>
      <c r="I531" s="4" t="s">
        <v>397</v>
      </c>
      <c r="J531" s="4" t="s">
        <v>135</v>
      </c>
      <c r="K531" s="4" t="s">
        <v>398</v>
      </c>
      <c r="L531" s="16" t="s">
        <v>399</v>
      </c>
    </row>
    <row r="532" spans="1:12" ht="36">
      <c r="A532" s="4" t="s">
        <v>118</v>
      </c>
      <c r="B532" s="4">
        <v>2017</v>
      </c>
      <c r="C532" s="4" t="s">
        <v>193</v>
      </c>
      <c r="D532" s="4" t="s">
        <v>400</v>
      </c>
      <c r="E532" s="4">
        <v>16378.3</v>
      </c>
      <c r="F532" s="4" t="s">
        <v>401</v>
      </c>
      <c r="G532" s="4">
        <v>1</v>
      </c>
      <c r="H532" s="4" t="s">
        <v>402</v>
      </c>
      <c r="I532" s="4" t="s">
        <v>403</v>
      </c>
      <c r="J532" s="4" t="s">
        <v>135</v>
      </c>
      <c r="K532" s="4" t="s">
        <v>404</v>
      </c>
      <c r="L532" s="16" t="s">
        <v>399</v>
      </c>
    </row>
    <row r="533" spans="1:12" ht="15.75">
      <c r="A533" s="4" t="s">
        <v>118</v>
      </c>
      <c r="B533" s="4">
        <v>2017</v>
      </c>
      <c r="C533" s="4" t="s">
        <v>193</v>
      </c>
      <c r="D533" s="4" t="s">
        <v>445</v>
      </c>
      <c r="E533" s="4">
        <v>270383</v>
      </c>
      <c r="F533" s="4" t="s">
        <v>446</v>
      </c>
      <c r="G533" s="4">
        <v>1</v>
      </c>
      <c r="H533" s="4" t="s">
        <v>447</v>
      </c>
      <c r="I533" s="4" t="s">
        <v>448</v>
      </c>
      <c r="J533" s="4" t="s">
        <v>449</v>
      </c>
      <c r="K533" s="4" t="s">
        <v>450</v>
      </c>
      <c r="L533" s="16" t="s">
        <v>540</v>
      </c>
    </row>
    <row r="534" spans="1:12" ht="15.75">
      <c r="A534" s="4" t="s">
        <v>118</v>
      </c>
      <c r="B534" s="4">
        <v>2017</v>
      </c>
      <c r="C534" s="4" t="s">
        <v>193</v>
      </c>
      <c r="D534" s="4" t="s">
        <v>452</v>
      </c>
      <c r="E534" s="4">
        <v>585515548.22000003</v>
      </c>
      <c r="F534" s="4" t="s">
        <v>417</v>
      </c>
      <c r="G534" s="4">
        <v>1</v>
      </c>
      <c r="H534" s="4" t="s">
        <v>453</v>
      </c>
      <c r="I534" s="4" t="s">
        <v>454</v>
      </c>
      <c r="J534" s="4" t="s">
        <v>135</v>
      </c>
      <c r="K534" s="4" t="s">
        <v>455</v>
      </c>
      <c r="L534" s="16" t="s">
        <v>542</v>
      </c>
    </row>
    <row r="535" spans="1:12" ht="24">
      <c r="A535" s="4" t="s">
        <v>118</v>
      </c>
      <c r="B535" s="4">
        <v>2017</v>
      </c>
      <c r="C535" s="4" t="s">
        <v>193</v>
      </c>
      <c r="D535" s="4" t="s">
        <v>456</v>
      </c>
      <c r="E535" s="4">
        <v>585515548.22000003</v>
      </c>
      <c r="F535" s="4" t="s">
        <v>417</v>
      </c>
      <c r="G535" s="4">
        <v>1</v>
      </c>
      <c r="H535" s="4" t="s">
        <v>477</v>
      </c>
      <c r="I535" s="4" t="s">
        <v>478</v>
      </c>
      <c r="J535" s="4" t="s">
        <v>135</v>
      </c>
      <c r="K535" s="4" t="s">
        <v>459</v>
      </c>
      <c r="L535" s="16" t="s">
        <v>542</v>
      </c>
    </row>
    <row r="536" spans="1:12" ht="15.75">
      <c r="A536" s="4" t="s">
        <v>118</v>
      </c>
      <c r="B536" s="4">
        <v>2017</v>
      </c>
      <c r="C536" s="4" t="s">
        <v>193</v>
      </c>
      <c r="D536" s="4" t="s">
        <v>460</v>
      </c>
      <c r="E536" s="4">
        <v>672950288.23000002</v>
      </c>
      <c r="F536" s="4" t="s">
        <v>417</v>
      </c>
      <c r="G536" s="4">
        <v>1</v>
      </c>
      <c r="H536" s="4" t="s">
        <v>461</v>
      </c>
      <c r="I536" s="4" t="s">
        <v>430</v>
      </c>
      <c r="J536" s="4" t="s">
        <v>135</v>
      </c>
      <c r="K536" s="4" t="s">
        <v>462</v>
      </c>
      <c r="L536" s="16" t="s">
        <v>541</v>
      </c>
    </row>
    <row r="537" spans="1:12" ht="36">
      <c r="A537" s="4" t="s">
        <v>118</v>
      </c>
      <c r="B537" s="4">
        <v>2017</v>
      </c>
      <c r="C537" s="4" t="s">
        <v>193</v>
      </c>
      <c r="D537" s="4" t="s">
        <v>463</v>
      </c>
      <c r="E537" s="4">
        <v>179788901.56999999</v>
      </c>
      <c r="F537" s="4" t="s">
        <v>417</v>
      </c>
      <c r="G537" s="4">
        <v>1</v>
      </c>
      <c r="H537" s="4" t="s">
        <v>464</v>
      </c>
      <c r="I537" s="4" t="s">
        <v>465</v>
      </c>
      <c r="J537" s="4" t="s">
        <v>135</v>
      </c>
      <c r="K537" s="4" t="s">
        <v>466</v>
      </c>
      <c r="L537" s="16" t="s">
        <v>541</v>
      </c>
    </row>
    <row r="538" spans="1:12" ht="36">
      <c r="A538" s="4" t="s">
        <v>118</v>
      </c>
      <c r="B538" s="4">
        <v>2017</v>
      </c>
      <c r="C538" s="4" t="s">
        <v>193</v>
      </c>
      <c r="D538" s="4" t="s">
        <v>467</v>
      </c>
      <c r="E538" s="4">
        <v>76446778.049999997</v>
      </c>
      <c r="F538" s="4" t="s">
        <v>417</v>
      </c>
      <c r="G538" s="4">
        <v>1</v>
      </c>
      <c r="H538" s="4" t="s">
        <v>468</v>
      </c>
      <c r="I538" s="4" t="s">
        <v>469</v>
      </c>
      <c r="J538" s="4" t="s">
        <v>135</v>
      </c>
      <c r="K538" s="4" t="s">
        <v>466</v>
      </c>
      <c r="L538" s="16" t="s">
        <v>541</v>
      </c>
    </row>
    <row r="539" spans="1:12" ht="24">
      <c r="A539" s="4" t="s">
        <v>118</v>
      </c>
      <c r="B539" s="4">
        <v>2018</v>
      </c>
      <c r="C539" s="4" t="s">
        <v>196</v>
      </c>
      <c r="D539" s="4" t="s">
        <v>416</v>
      </c>
      <c r="E539" s="4">
        <v>72867501.359999999</v>
      </c>
      <c r="F539" s="4" t="s">
        <v>417</v>
      </c>
      <c r="G539" s="4">
        <v>1</v>
      </c>
      <c r="H539" s="4" t="s">
        <v>479</v>
      </c>
      <c r="I539" s="4" t="s">
        <v>480</v>
      </c>
      <c r="J539" s="4" t="s">
        <v>135</v>
      </c>
      <c r="K539" s="4" t="s">
        <v>420</v>
      </c>
      <c r="L539" s="16" t="s">
        <v>544</v>
      </c>
    </row>
    <row r="540" spans="1:12" ht="24">
      <c r="A540" s="4" t="s">
        <v>118</v>
      </c>
      <c r="B540" s="4">
        <v>2018</v>
      </c>
      <c r="C540" s="4" t="s">
        <v>196</v>
      </c>
      <c r="D540" s="4" t="s">
        <v>422</v>
      </c>
      <c r="E540" s="4">
        <v>53.9</v>
      </c>
      <c r="F540" s="4" t="s">
        <v>423</v>
      </c>
      <c r="G540" s="4">
        <v>1</v>
      </c>
      <c r="H540" s="4" t="s">
        <v>471</v>
      </c>
      <c r="I540" s="4" t="s">
        <v>425</v>
      </c>
      <c r="J540" s="4" t="s">
        <v>135</v>
      </c>
      <c r="K540" s="4" t="s">
        <v>426</v>
      </c>
      <c r="L540" s="16" t="s">
        <v>545</v>
      </c>
    </row>
    <row r="541" spans="1:12" ht="24">
      <c r="A541" s="4" t="s">
        <v>118</v>
      </c>
      <c r="B541" s="4">
        <v>2018</v>
      </c>
      <c r="C541" s="4" t="s">
        <v>196</v>
      </c>
      <c r="D541" s="4" t="s">
        <v>428</v>
      </c>
      <c r="E541" s="4">
        <v>32635637.199999999</v>
      </c>
      <c r="F541" s="4" t="s">
        <v>417</v>
      </c>
      <c r="G541" s="4">
        <v>1</v>
      </c>
      <c r="H541" s="4" t="s">
        <v>429</v>
      </c>
      <c r="I541" s="4" t="s">
        <v>430</v>
      </c>
      <c r="J541" s="4" t="s">
        <v>431</v>
      </c>
      <c r="K541" s="4" t="s">
        <v>432</v>
      </c>
      <c r="L541" s="16" t="s">
        <v>544</v>
      </c>
    </row>
    <row r="542" spans="1:12" ht="15.75">
      <c r="A542" s="4" t="s">
        <v>118</v>
      </c>
      <c r="B542" s="4">
        <v>2018</v>
      </c>
      <c r="C542" s="4" t="s">
        <v>196</v>
      </c>
      <c r="D542" s="4" t="s">
        <v>433</v>
      </c>
      <c r="E542" s="4">
        <v>551700178.61000001</v>
      </c>
      <c r="F542" s="4" t="s">
        <v>417</v>
      </c>
      <c r="G542" s="4">
        <v>1</v>
      </c>
      <c r="H542" s="4" t="s">
        <v>434</v>
      </c>
      <c r="I542" s="4" t="s">
        <v>435</v>
      </c>
      <c r="J542" s="4" t="s">
        <v>135</v>
      </c>
      <c r="K542" s="4" t="s">
        <v>436</v>
      </c>
      <c r="L542" s="16" t="s">
        <v>546</v>
      </c>
    </row>
    <row r="543" spans="1:12" ht="15.75">
      <c r="A543" s="4" t="s">
        <v>118</v>
      </c>
      <c r="B543" s="4">
        <v>2018</v>
      </c>
      <c r="C543" s="4" t="s">
        <v>196</v>
      </c>
      <c r="D543" s="4" t="s">
        <v>438</v>
      </c>
      <c r="E543" s="4">
        <v>529043680.27999997</v>
      </c>
      <c r="F543" s="4" t="s">
        <v>417</v>
      </c>
      <c r="G543" s="4">
        <v>1</v>
      </c>
      <c r="H543" s="4" t="s">
        <v>439</v>
      </c>
      <c r="I543" s="4" t="s">
        <v>435</v>
      </c>
      <c r="J543" s="4" t="s">
        <v>135</v>
      </c>
      <c r="K543" s="4" t="s">
        <v>436</v>
      </c>
      <c r="L543" s="16" t="s">
        <v>546</v>
      </c>
    </row>
    <row r="544" spans="1:12" ht="15.75">
      <c r="A544" s="4" t="s">
        <v>118</v>
      </c>
      <c r="B544" s="4">
        <v>2018</v>
      </c>
      <c r="C544" s="4" t="s">
        <v>196</v>
      </c>
      <c r="D544" s="4" t="s">
        <v>440</v>
      </c>
      <c r="E544" s="4">
        <v>502676917.94</v>
      </c>
      <c r="F544" s="4" t="s">
        <v>417</v>
      </c>
      <c r="G544" s="4">
        <v>1</v>
      </c>
      <c r="H544" s="4" t="s">
        <v>441</v>
      </c>
      <c r="I544" s="4" t="s">
        <v>435</v>
      </c>
      <c r="J544" s="4" t="s">
        <v>135</v>
      </c>
      <c r="K544" s="4" t="s">
        <v>436</v>
      </c>
      <c r="L544" s="16" t="s">
        <v>546</v>
      </c>
    </row>
    <row r="545" spans="1:12" ht="24">
      <c r="A545" s="4" t="s">
        <v>118</v>
      </c>
      <c r="B545" s="4">
        <v>2018</v>
      </c>
      <c r="C545" s="4" t="s">
        <v>196</v>
      </c>
      <c r="D545" s="4" t="s">
        <v>442</v>
      </c>
      <c r="E545" s="4">
        <v>266754618.03999999</v>
      </c>
      <c r="F545" s="4" t="s">
        <v>417</v>
      </c>
      <c r="G545" s="4">
        <v>1</v>
      </c>
      <c r="H545" s="4" t="s">
        <v>474</v>
      </c>
      <c r="I545" s="4" t="s">
        <v>425</v>
      </c>
      <c r="J545" s="4" t="s">
        <v>135</v>
      </c>
      <c r="K545" s="4" t="s">
        <v>444</v>
      </c>
      <c r="L545" s="16" t="s">
        <v>545</v>
      </c>
    </row>
    <row r="546" spans="1:12" ht="36">
      <c r="A546" s="4" t="s">
        <v>118</v>
      </c>
      <c r="B546" s="4">
        <v>2018</v>
      </c>
      <c r="C546" s="4" t="s">
        <v>196</v>
      </c>
      <c r="D546" s="4" t="s">
        <v>394</v>
      </c>
      <c r="E546" s="4">
        <v>4815934.9560000002</v>
      </c>
      <c r="F546" s="4" t="s">
        <v>395</v>
      </c>
      <c r="G546" s="4">
        <v>1000</v>
      </c>
      <c r="H546" s="4" t="s">
        <v>396</v>
      </c>
      <c r="I546" s="4" t="s">
        <v>397</v>
      </c>
      <c r="J546" s="4" t="s">
        <v>135</v>
      </c>
      <c r="K546" s="4" t="s">
        <v>398</v>
      </c>
      <c r="L546" s="16" t="s">
        <v>399</v>
      </c>
    </row>
    <row r="547" spans="1:12" ht="36">
      <c r="A547" s="4" t="s">
        <v>118</v>
      </c>
      <c r="B547" s="4">
        <v>2018</v>
      </c>
      <c r="C547" s="4" t="s">
        <v>196</v>
      </c>
      <c r="D547" s="4" t="s">
        <v>400</v>
      </c>
      <c r="E547" s="4">
        <v>17710.46</v>
      </c>
      <c r="F547" s="4" t="s">
        <v>401</v>
      </c>
      <c r="G547" s="4">
        <v>1</v>
      </c>
      <c r="H547" s="4" t="s">
        <v>402</v>
      </c>
      <c r="I547" s="4" t="s">
        <v>403</v>
      </c>
      <c r="J547" s="4" t="s">
        <v>135</v>
      </c>
      <c r="K547" s="4" t="s">
        <v>404</v>
      </c>
      <c r="L547" s="16" t="s">
        <v>399</v>
      </c>
    </row>
    <row r="548" spans="1:12" ht="15.75">
      <c r="A548" s="4" t="s">
        <v>118</v>
      </c>
      <c r="B548" s="4">
        <v>2018</v>
      </c>
      <c r="C548" s="4" t="s">
        <v>196</v>
      </c>
      <c r="D548" s="4" t="s">
        <v>445</v>
      </c>
      <c r="E548" s="4">
        <v>271926</v>
      </c>
      <c r="F548" s="4" t="s">
        <v>446</v>
      </c>
      <c r="G548" s="4">
        <v>1</v>
      </c>
      <c r="H548" s="4" t="s">
        <v>447</v>
      </c>
      <c r="I548" s="4" t="s">
        <v>448</v>
      </c>
      <c r="J548" s="4" t="s">
        <v>449</v>
      </c>
      <c r="K548" s="4" t="s">
        <v>450</v>
      </c>
      <c r="L548" s="16" t="s">
        <v>540</v>
      </c>
    </row>
    <row r="549" spans="1:12" ht="15.75">
      <c r="A549" s="4" t="s">
        <v>118</v>
      </c>
      <c r="B549" s="4">
        <v>2018</v>
      </c>
      <c r="C549" s="4" t="s">
        <v>196</v>
      </c>
      <c r="D549" s="4" t="s">
        <v>452</v>
      </c>
      <c r="E549" s="4">
        <v>494888166</v>
      </c>
      <c r="F549" s="4" t="s">
        <v>417</v>
      </c>
      <c r="G549" s="4">
        <v>1</v>
      </c>
      <c r="H549" s="4" t="s">
        <v>453</v>
      </c>
      <c r="I549" s="4" t="s">
        <v>454</v>
      </c>
      <c r="J549" s="4" t="s">
        <v>135</v>
      </c>
      <c r="K549" s="4" t="s">
        <v>455</v>
      </c>
      <c r="L549" s="16" t="s">
        <v>545</v>
      </c>
    </row>
    <row r="550" spans="1:12" ht="24">
      <c r="A550" s="4" t="s">
        <v>118</v>
      </c>
      <c r="B550" s="4">
        <v>2018</v>
      </c>
      <c r="C550" s="4" t="s">
        <v>196</v>
      </c>
      <c r="D550" s="4" t="s">
        <v>456</v>
      </c>
      <c r="E550" s="4">
        <v>494888166</v>
      </c>
      <c r="F550" s="4" t="s">
        <v>417</v>
      </c>
      <c r="G550" s="4">
        <v>1</v>
      </c>
      <c r="H550" s="4" t="s">
        <v>477</v>
      </c>
      <c r="I550" s="4" t="s">
        <v>478</v>
      </c>
      <c r="J550" s="4" t="s">
        <v>135</v>
      </c>
      <c r="K550" s="4" t="s">
        <v>459</v>
      </c>
      <c r="L550" s="16" t="s">
        <v>545</v>
      </c>
    </row>
    <row r="551" spans="1:12" ht="15.75">
      <c r="A551" s="4" t="s">
        <v>118</v>
      </c>
      <c r="B551" s="4">
        <v>2018</v>
      </c>
      <c r="C551" s="4" t="s">
        <v>196</v>
      </c>
      <c r="D551" s="4" t="s">
        <v>460</v>
      </c>
      <c r="E551" s="4">
        <v>582217089.00999999</v>
      </c>
      <c r="F551" s="4" t="s">
        <v>417</v>
      </c>
      <c r="G551" s="4">
        <v>1</v>
      </c>
      <c r="H551" s="4" t="s">
        <v>461</v>
      </c>
      <c r="I551" s="4" t="s">
        <v>430</v>
      </c>
      <c r="J551" s="4" t="s">
        <v>135</v>
      </c>
      <c r="K551" s="4" t="s">
        <v>462</v>
      </c>
      <c r="L551" s="16" t="s">
        <v>544</v>
      </c>
    </row>
    <row r="552" spans="1:12" ht="36">
      <c r="A552" s="4" t="s">
        <v>118</v>
      </c>
      <c r="B552" s="4">
        <v>2018</v>
      </c>
      <c r="C552" s="4" t="s">
        <v>196</v>
      </c>
      <c r="D552" s="4" t="s">
        <v>463</v>
      </c>
      <c r="E552" s="4">
        <v>214382173.94999999</v>
      </c>
      <c r="F552" s="4" t="s">
        <v>417</v>
      </c>
      <c r="G552" s="4">
        <v>1</v>
      </c>
      <c r="H552" s="4" t="s">
        <v>484</v>
      </c>
      <c r="I552" s="4" t="s">
        <v>485</v>
      </c>
      <c r="J552" s="4" t="s">
        <v>135</v>
      </c>
      <c r="K552" s="4" t="s">
        <v>466</v>
      </c>
      <c r="L552" s="16" t="s">
        <v>544</v>
      </c>
    </row>
    <row r="553" spans="1:12" ht="36">
      <c r="A553" s="4" t="s">
        <v>118</v>
      </c>
      <c r="B553" s="4">
        <v>2018</v>
      </c>
      <c r="C553" s="4" t="s">
        <v>196</v>
      </c>
      <c r="D553" s="4" t="s">
        <v>467</v>
      </c>
      <c r="E553" s="4">
        <v>79412752.189999998</v>
      </c>
      <c r="F553" s="4" t="s">
        <v>417</v>
      </c>
      <c r="G553" s="4">
        <v>1</v>
      </c>
      <c r="H553" s="4" t="s">
        <v>486</v>
      </c>
      <c r="I553" s="4" t="s">
        <v>487</v>
      </c>
      <c r="J553" s="4" t="s">
        <v>135</v>
      </c>
      <c r="K553" s="4" t="s">
        <v>466</v>
      </c>
      <c r="L553" s="16" t="s">
        <v>544</v>
      </c>
    </row>
    <row r="554" spans="1:12" ht="24">
      <c r="A554" s="4" t="s">
        <v>118</v>
      </c>
      <c r="B554" s="4">
        <v>2019</v>
      </c>
      <c r="C554" s="4" t="s">
        <v>199</v>
      </c>
      <c r="D554" s="4" t="s">
        <v>416</v>
      </c>
      <c r="E554" s="4">
        <v>79537370.480000004</v>
      </c>
      <c r="F554" s="4" t="s">
        <v>417</v>
      </c>
      <c r="G554" s="4">
        <v>1</v>
      </c>
      <c r="H554" s="4" t="s">
        <v>479</v>
      </c>
      <c r="I554" s="4" t="s">
        <v>480</v>
      </c>
      <c r="J554" s="4" t="s">
        <v>135</v>
      </c>
      <c r="K554" s="4" t="s">
        <v>420</v>
      </c>
      <c r="L554" s="16" t="s">
        <v>547</v>
      </c>
    </row>
    <row r="555" spans="1:12" ht="24">
      <c r="A555" s="4" t="s">
        <v>118</v>
      </c>
      <c r="B555" s="4">
        <v>2019</v>
      </c>
      <c r="C555" s="4" t="s">
        <v>199</v>
      </c>
      <c r="D555" s="4" t="s">
        <v>422</v>
      </c>
      <c r="E555" s="4">
        <v>52.97</v>
      </c>
      <c r="F555" s="4" t="s">
        <v>423</v>
      </c>
      <c r="G555" s="4">
        <v>1</v>
      </c>
      <c r="H555" s="4" t="s">
        <v>471</v>
      </c>
      <c r="I555" s="4" t="s">
        <v>425</v>
      </c>
      <c r="J555" s="4" t="s">
        <v>135</v>
      </c>
      <c r="K555" s="4" t="s">
        <v>426</v>
      </c>
      <c r="L555" s="16" t="s">
        <v>548</v>
      </c>
    </row>
    <row r="556" spans="1:12" ht="24">
      <c r="A556" s="4" t="s">
        <v>118</v>
      </c>
      <c r="B556" s="4">
        <v>2019</v>
      </c>
      <c r="C556" s="4" t="s">
        <v>199</v>
      </c>
      <c r="D556" s="4" t="s">
        <v>428</v>
      </c>
      <c r="E556" s="4">
        <v>34860027.539999999</v>
      </c>
      <c r="F556" s="4" t="s">
        <v>417</v>
      </c>
      <c r="G556" s="4">
        <v>1</v>
      </c>
      <c r="H556" s="4" t="s">
        <v>429</v>
      </c>
      <c r="I556" s="4" t="s">
        <v>430</v>
      </c>
      <c r="J556" s="4" t="s">
        <v>431</v>
      </c>
      <c r="K556" s="4" t="s">
        <v>432</v>
      </c>
      <c r="L556" s="16" t="s">
        <v>547</v>
      </c>
    </row>
    <row r="557" spans="1:12" ht="15.75">
      <c r="A557" s="4" t="s">
        <v>118</v>
      </c>
      <c r="B557" s="4">
        <v>2019</v>
      </c>
      <c r="C557" s="4" t="s">
        <v>199</v>
      </c>
      <c r="D557" s="4" t="s">
        <v>433</v>
      </c>
      <c r="E557" s="4">
        <v>592896971.78999996</v>
      </c>
      <c r="F557" s="4" t="s">
        <v>417</v>
      </c>
      <c r="G557" s="4">
        <v>1</v>
      </c>
      <c r="H557" s="4" t="s">
        <v>434</v>
      </c>
      <c r="I557" s="4" t="s">
        <v>435</v>
      </c>
      <c r="J557" s="4" t="s">
        <v>135</v>
      </c>
      <c r="K557" s="4" t="s">
        <v>436</v>
      </c>
      <c r="L557" s="16" t="s">
        <v>549</v>
      </c>
    </row>
    <row r="558" spans="1:12" ht="15.75">
      <c r="A558" s="4" t="s">
        <v>118</v>
      </c>
      <c r="B558" s="4">
        <v>2019</v>
      </c>
      <c r="C558" s="4" t="s">
        <v>199</v>
      </c>
      <c r="D558" s="4" t="s">
        <v>438</v>
      </c>
      <c r="E558" s="4">
        <v>560619608.60000002</v>
      </c>
      <c r="F558" s="4" t="s">
        <v>417</v>
      </c>
      <c r="G558" s="4">
        <v>1</v>
      </c>
      <c r="H558" s="4" t="s">
        <v>439</v>
      </c>
      <c r="I558" s="4" t="s">
        <v>435</v>
      </c>
      <c r="J558" s="4" t="s">
        <v>135</v>
      </c>
      <c r="K558" s="4" t="s">
        <v>436</v>
      </c>
      <c r="L558" s="16" t="s">
        <v>549</v>
      </c>
    </row>
    <row r="559" spans="1:12" ht="15.75">
      <c r="A559" s="4" t="s">
        <v>118</v>
      </c>
      <c r="B559" s="4">
        <v>2019</v>
      </c>
      <c r="C559" s="4" t="s">
        <v>199</v>
      </c>
      <c r="D559" s="4" t="s">
        <v>440</v>
      </c>
      <c r="E559" s="4">
        <v>521987902.24000001</v>
      </c>
      <c r="F559" s="4" t="s">
        <v>417</v>
      </c>
      <c r="G559" s="4">
        <v>1</v>
      </c>
      <c r="H559" s="4" t="s">
        <v>441</v>
      </c>
      <c r="I559" s="4" t="s">
        <v>435</v>
      </c>
      <c r="J559" s="4" t="s">
        <v>135</v>
      </c>
      <c r="K559" s="4" t="s">
        <v>436</v>
      </c>
      <c r="L559" s="16" t="s">
        <v>549</v>
      </c>
    </row>
    <row r="560" spans="1:12" ht="24">
      <c r="A560" s="4" t="s">
        <v>118</v>
      </c>
      <c r="B560" s="4">
        <v>2019</v>
      </c>
      <c r="C560" s="4" t="s">
        <v>199</v>
      </c>
      <c r="D560" s="4" t="s">
        <v>442</v>
      </c>
      <c r="E560" s="4">
        <v>286296307.11000001</v>
      </c>
      <c r="F560" s="4" t="s">
        <v>417</v>
      </c>
      <c r="G560" s="4">
        <v>1</v>
      </c>
      <c r="H560" s="4" t="s">
        <v>474</v>
      </c>
      <c r="I560" s="4" t="s">
        <v>425</v>
      </c>
      <c r="J560" s="4" t="s">
        <v>135</v>
      </c>
      <c r="K560" s="4" t="s">
        <v>444</v>
      </c>
      <c r="L560" s="16" t="s">
        <v>548</v>
      </c>
    </row>
    <row r="561" spans="1:12" ht="15.75">
      <c r="A561" s="4" t="s">
        <v>118</v>
      </c>
      <c r="B561" s="4">
        <v>2019</v>
      </c>
      <c r="C561" s="4" t="s">
        <v>199</v>
      </c>
      <c r="D561" s="4" t="s">
        <v>374</v>
      </c>
      <c r="E561" s="4">
        <v>5.2098329999999997</v>
      </c>
      <c r="F561" s="4" t="s">
        <v>375</v>
      </c>
      <c r="G561" s="4">
        <v>1</v>
      </c>
      <c r="H561" s="4" t="s">
        <v>491</v>
      </c>
      <c r="I561" s="4" t="s">
        <v>377</v>
      </c>
      <c r="J561" s="4" t="s">
        <v>378</v>
      </c>
      <c r="K561" s="4" t="s">
        <v>379</v>
      </c>
      <c r="L561" s="16" t="s">
        <v>380</v>
      </c>
    </row>
    <row r="562" spans="1:12" ht="15.75">
      <c r="A562" s="4" t="s">
        <v>118</v>
      </c>
      <c r="B562" s="4">
        <v>2019</v>
      </c>
      <c r="C562" s="4" t="s">
        <v>199</v>
      </c>
      <c r="D562" s="4" t="s">
        <v>381</v>
      </c>
      <c r="E562" s="4">
        <v>5.6275649999999997</v>
      </c>
      <c r="F562" s="4" t="s">
        <v>375</v>
      </c>
      <c r="G562" s="4">
        <v>1</v>
      </c>
      <c r="H562" s="4" t="s">
        <v>491</v>
      </c>
      <c r="I562" s="4" t="s">
        <v>377</v>
      </c>
      <c r="J562" s="4" t="s">
        <v>378</v>
      </c>
      <c r="K562" s="4" t="s">
        <v>379</v>
      </c>
      <c r="L562" s="16" t="s">
        <v>382</v>
      </c>
    </row>
    <row r="563" spans="1:12" ht="15.75">
      <c r="A563" s="4" t="s">
        <v>118</v>
      </c>
      <c r="B563" s="4">
        <v>2019</v>
      </c>
      <c r="C563" s="4" t="s">
        <v>199</v>
      </c>
      <c r="D563" s="4" t="s">
        <v>383</v>
      </c>
      <c r="E563" s="4">
        <v>0.92900700000000003</v>
      </c>
      <c r="F563" s="4" t="s">
        <v>384</v>
      </c>
      <c r="G563" s="4">
        <v>1</v>
      </c>
      <c r="H563" s="4" t="s">
        <v>492</v>
      </c>
      <c r="I563" s="4" t="s">
        <v>377</v>
      </c>
      <c r="J563" s="4" t="s">
        <v>378</v>
      </c>
      <c r="K563" s="4" t="s">
        <v>379</v>
      </c>
      <c r="L563" s="16" t="s">
        <v>380</v>
      </c>
    </row>
    <row r="564" spans="1:12" ht="15.75">
      <c r="A564" s="4" t="s">
        <v>118</v>
      </c>
      <c r="B564" s="4">
        <v>2019</v>
      </c>
      <c r="C564" s="4" t="s">
        <v>199</v>
      </c>
      <c r="D564" s="4" t="s">
        <v>386</v>
      </c>
      <c r="E564" s="4">
        <v>0.97673500000000002</v>
      </c>
      <c r="F564" s="4" t="s">
        <v>384</v>
      </c>
      <c r="G564" s="4">
        <v>1</v>
      </c>
      <c r="H564" s="4" t="s">
        <v>492</v>
      </c>
      <c r="I564" s="4" t="s">
        <v>377</v>
      </c>
      <c r="J564" s="4" t="s">
        <v>378</v>
      </c>
      <c r="K564" s="4" t="s">
        <v>379</v>
      </c>
      <c r="L564" s="16" t="s">
        <v>382</v>
      </c>
    </row>
    <row r="565" spans="1:12" ht="36">
      <c r="A565" s="4" t="s">
        <v>118</v>
      </c>
      <c r="B565" s="4">
        <v>2019</v>
      </c>
      <c r="C565" s="4" t="s">
        <v>199</v>
      </c>
      <c r="D565" s="4" t="s">
        <v>394</v>
      </c>
      <c r="E565" s="4">
        <v>4868984.2259999998</v>
      </c>
      <c r="F565" s="4" t="s">
        <v>395</v>
      </c>
      <c r="G565" s="4">
        <v>1000</v>
      </c>
      <c r="H565" s="4" t="s">
        <v>396</v>
      </c>
      <c r="I565" s="4" t="s">
        <v>397</v>
      </c>
      <c r="J565" s="4" t="s">
        <v>135</v>
      </c>
      <c r="K565" s="4" t="s">
        <v>398</v>
      </c>
      <c r="L565" s="16" t="s">
        <v>399</v>
      </c>
    </row>
    <row r="566" spans="1:12" ht="36">
      <c r="A566" s="4" t="s">
        <v>118</v>
      </c>
      <c r="B566" s="4">
        <v>2019</v>
      </c>
      <c r="C566" s="4" t="s">
        <v>199</v>
      </c>
      <c r="D566" s="4" t="s">
        <v>400</v>
      </c>
      <c r="E566" s="4">
        <v>17756.599999999999</v>
      </c>
      <c r="F566" s="4" t="s">
        <v>401</v>
      </c>
      <c r="G566" s="4">
        <v>1</v>
      </c>
      <c r="H566" s="4" t="s">
        <v>402</v>
      </c>
      <c r="I566" s="4" t="s">
        <v>403</v>
      </c>
      <c r="J566" s="4" t="s">
        <v>135</v>
      </c>
      <c r="K566" s="4" t="s">
        <v>404</v>
      </c>
      <c r="L566" s="16" t="s">
        <v>399</v>
      </c>
    </row>
    <row r="567" spans="1:12" ht="15.75">
      <c r="A567" s="4" t="s">
        <v>118</v>
      </c>
      <c r="B567" s="4">
        <v>2019</v>
      </c>
      <c r="C567" s="4" t="s">
        <v>199</v>
      </c>
      <c r="D567" s="4" t="s">
        <v>445</v>
      </c>
      <c r="E567" s="4">
        <v>274207</v>
      </c>
      <c r="F567" s="4" t="s">
        <v>446</v>
      </c>
      <c r="G567" s="4">
        <v>1</v>
      </c>
      <c r="H567" s="4" t="s">
        <v>447</v>
      </c>
      <c r="I567" s="4" t="s">
        <v>448</v>
      </c>
      <c r="J567" s="4" t="s">
        <v>449</v>
      </c>
      <c r="K567" s="4" t="s">
        <v>450</v>
      </c>
      <c r="L567" s="16" t="s">
        <v>540</v>
      </c>
    </row>
    <row r="568" spans="1:12" ht="15.75">
      <c r="A568" s="4" t="s">
        <v>118</v>
      </c>
      <c r="B568" s="4">
        <v>2019</v>
      </c>
      <c r="C568" s="4" t="s">
        <v>199</v>
      </c>
      <c r="D568" s="4" t="s">
        <v>452</v>
      </c>
      <c r="E568" s="4">
        <v>540508310.49000001</v>
      </c>
      <c r="F568" s="4" t="s">
        <v>417</v>
      </c>
      <c r="G568" s="4">
        <v>1</v>
      </c>
      <c r="H568" s="4" t="s">
        <v>453</v>
      </c>
      <c r="I568" s="4" t="s">
        <v>454</v>
      </c>
      <c r="J568" s="4" t="s">
        <v>135</v>
      </c>
      <c r="K568" s="4" t="s">
        <v>455</v>
      </c>
      <c r="L568" s="16" t="s">
        <v>548</v>
      </c>
    </row>
    <row r="569" spans="1:12" ht="24">
      <c r="A569" s="4" t="s">
        <v>118</v>
      </c>
      <c r="B569" s="4">
        <v>2019</v>
      </c>
      <c r="C569" s="4" t="s">
        <v>199</v>
      </c>
      <c r="D569" s="4" t="s">
        <v>456</v>
      </c>
      <c r="E569" s="4">
        <v>540508310.49000001</v>
      </c>
      <c r="F569" s="4" t="s">
        <v>417</v>
      </c>
      <c r="G569" s="4">
        <v>1</v>
      </c>
      <c r="H569" s="4" t="s">
        <v>477</v>
      </c>
      <c r="I569" s="4" t="s">
        <v>478</v>
      </c>
      <c r="J569" s="4" t="s">
        <v>135</v>
      </c>
      <c r="K569" s="4" t="s">
        <v>459</v>
      </c>
      <c r="L569" s="16" t="s">
        <v>548</v>
      </c>
    </row>
    <row r="570" spans="1:12" ht="24">
      <c r="A570" s="4" t="s">
        <v>118</v>
      </c>
      <c r="B570" s="4">
        <v>2019</v>
      </c>
      <c r="C570" s="4" t="s">
        <v>199</v>
      </c>
      <c r="D570" s="4" t="s">
        <v>460</v>
      </c>
      <c r="E570" s="4">
        <v>631746512.92999995</v>
      </c>
      <c r="F570" s="4" t="s">
        <v>417</v>
      </c>
      <c r="G570" s="4">
        <v>1</v>
      </c>
      <c r="H570" s="4" t="s">
        <v>493</v>
      </c>
      <c r="I570" s="4" t="s">
        <v>430</v>
      </c>
      <c r="J570" s="4" t="s">
        <v>135</v>
      </c>
      <c r="K570" s="4" t="s">
        <v>462</v>
      </c>
      <c r="L570" s="16" t="s">
        <v>547</v>
      </c>
    </row>
    <row r="571" spans="1:12" ht="36">
      <c r="A571" s="4" t="s">
        <v>118</v>
      </c>
      <c r="B571" s="4">
        <v>2019</v>
      </c>
      <c r="C571" s="4" t="s">
        <v>199</v>
      </c>
      <c r="D571" s="4" t="s">
        <v>463</v>
      </c>
      <c r="E571" s="4">
        <v>232431906</v>
      </c>
      <c r="F571" s="4" t="s">
        <v>417</v>
      </c>
      <c r="G571" s="4">
        <v>1</v>
      </c>
      <c r="H571" s="4" t="s">
        <v>484</v>
      </c>
      <c r="I571" s="4" t="s">
        <v>485</v>
      </c>
      <c r="J571" s="4" t="s">
        <v>135</v>
      </c>
      <c r="K571" s="4" t="s">
        <v>466</v>
      </c>
      <c r="L571" s="16" t="s">
        <v>547</v>
      </c>
    </row>
    <row r="572" spans="1:12" ht="36">
      <c r="A572" s="4" t="s">
        <v>118</v>
      </c>
      <c r="B572" s="4">
        <v>2019</v>
      </c>
      <c r="C572" s="4" t="s">
        <v>199</v>
      </c>
      <c r="D572" s="4" t="s">
        <v>467</v>
      </c>
      <c r="E572" s="4">
        <v>82447260.760000005</v>
      </c>
      <c r="F572" s="4" t="s">
        <v>417</v>
      </c>
      <c r="G572" s="4">
        <v>1</v>
      </c>
      <c r="H572" s="4" t="s">
        <v>486</v>
      </c>
      <c r="I572" s="4" t="s">
        <v>487</v>
      </c>
      <c r="J572" s="4" t="s">
        <v>135</v>
      </c>
      <c r="K572" s="4" t="s">
        <v>466</v>
      </c>
      <c r="L572" s="16" t="s">
        <v>547</v>
      </c>
    </row>
    <row r="573" spans="1:12" ht="24">
      <c r="A573" s="4" t="s">
        <v>118</v>
      </c>
      <c r="B573" s="4">
        <v>2020</v>
      </c>
      <c r="C573" s="4" t="s">
        <v>202</v>
      </c>
      <c r="D573" s="4" t="s">
        <v>416</v>
      </c>
      <c r="E573" s="4">
        <v>82955871.75</v>
      </c>
      <c r="F573" s="4" t="s">
        <v>417</v>
      </c>
      <c r="G573" s="4">
        <v>1</v>
      </c>
      <c r="H573" s="4" t="s">
        <v>479</v>
      </c>
      <c r="I573" s="4" t="s">
        <v>480</v>
      </c>
      <c r="J573" s="4" t="s">
        <v>135</v>
      </c>
      <c r="K573" s="4" t="s">
        <v>420</v>
      </c>
      <c r="L573" s="16" t="s">
        <v>550</v>
      </c>
    </row>
    <row r="574" spans="1:12" ht="24">
      <c r="A574" s="4" t="s">
        <v>118</v>
      </c>
      <c r="B574" s="4">
        <v>2020</v>
      </c>
      <c r="C574" s="4" t="s">
        <v>202</v>
      </c>
      <c r="D574" s="4" t="s">
        <v>422</v>
      </c>
      <c r="E574" s="4">
        <v>60.24</v>
      </c>
      <c r="F574" s="4" t="s">
        <v>423</v>
      </c>
      <c r="G574" s="4">
        <v>1</v>
      </c>
      <c r="H574" s="4" t="s">
        <v>495</v>
      </c>
      <c r="I574" s="4" t="s">
        <v>425</v>
      </c>
      <c r="J574" s="4" t="s">
        <v>135</v>
      </c>
      <c r="K574" s="4" t="s">
        <v>426</v>
      </c>
      <c r="L574" s="16" t="s">
        <v>551</v>
      </c>
    </row>
    <row r="575" spans="1:12" ht="24">
      <c r="A575" s="4" t="s">
        <v>118</v>
      </c>
      <c r="B575" s="4">
        <v>2020</v>
      </c>
      <c r="C575" s="4" t="s">
        <v>202</v>
      </c>
      <c r="D575" s="4" t="s">
        <v>428</v>
      </c>
      <c r="E575" s="4">
        <v>33686634.039999999</v>
      </c>
      <c r="F575" s="4" t="s">
        <v>417</v>
      </c>
      <c r="G575" s="4">
        <v>1</v>
      </c>
      <c r="H575" s="4" t="s">
        <v>429</v>
      </c>
      <c r="I575" s="4" t="s">
        <v>430</v>
      </c>
      <c r="J575" s="4" t="s">
        <v>431</v>
      </c>
      <c r="K575" s="4" t="s">
        <v>432</v>
      </c>
      <c r="L575" s="16" t="s">
        <v>550</v>
      </c>
    </row>
    <row r="576" spans="1:12" ht="15.75">
      <c r="A576" s="4" t="s">
        <v>118</v>
      </c>
      <c r="B576" s="4">
        <v>2020</v>
      </c>
      <c r="C576" s="4" t="s">
        <v>202</v>
      </c>
      <c r="D576" s="4" t="s">
        <v>433</v>
      </c>
      <c r="E576" s="4">
        <v>673573754.76999998</v>
      </c>
      <c r="F576" s="4" t="s">
        <v>417</v>
      </c>
      <c r="G576" s="4">
        <v>1</v>
      </c>
      <c r="H576" s="4" t="s">
        <v>434</v>
      </c>
      <c r="I576" s="4" t="s">
        <v>435</v>
      </c>
      <c r="J576" s="4" t="s">
        <v>135</v>
      </c>
      <c r="K576" s="4" t="s">
        <v>436</v>
      </c>
      <c r="L576" s="16" t="s">
        <v>552</v>
      </c>
    </row>
    <row r="577" spans="1:12" ht="15.75">
      <c r="A577" s="4" t="s">
        <v>118</v>
      </c>
      <c r="B577" s="4">
        <v>2020</v>
      </c>
      <c r="C577" s="4" t="s">
        <v>202</v>
      </c>
      <c r="D577" s="4" t="s">
        <v>438</v>
      </c>
      <c r="E577" s="4">
        <v>663301387.97000003</v>
      </c>
      <c r="F577" s="4" t="s">
        <v>417</v>
      </c>
      <c r="G577" s="4">
        <v>1</v>
      </c>
      <c r="H577" s="4" t="s">
        <v>439</v>
      </c>
      <c r="I577" s="4" t="s">
        <v>435</v>
      </c>
      <c r="J577" s="4" t="s">
        <v>135</v>
      </c>
      <c r="K577" s="4" t="s">
        <v>436</v>
      </c>
      <c r="L577" s="16" t="s">
        <v>552</v>
      </c>
    </row>
    <row r="578" spans="1:12" ht="15.75">
      <c r="A578" s="4" t="s">
        <v>118</v>
      </c>
      <c r="B578" s="4">
        <v>2020</v>
      </c>
      <c r="C578" s="4" t="s">
        <v>202</v>
      </c>
      <c r="D578" s="4" t="s">
        <v>440</v>
      </c>
      <c r="E578" s="4">
        <v>608514043.73000002</v>
      </c>
      <c r="F578" s="4" t="s">
        <v>417</v>
      </c>
      <c r="G578" s="4">
        <v>1</v>
      </c>
      <c r="H578" s="4" t="s">
        <v>441</v>
      </c>
      <c r="I578" s="4" t="s">
        <v>435</v>
      </c>
      <c r="J578" s="4" t="s">
        <v>135</v>
      </c>
      <c r="K578" s="4" t="s">
        <v>436</v>
      </c>
      <c r="L578" s="16" t="s">
        <v>552</v>
      </c>
    </row>
    <row r="579" spans="1:12" ht="24">
      <c r="A579" s="4" t="s">
        <v>118</v>
      </c>
      <c r="B579" s="4">
        <v>2020</v>
      </c>
      <c r="C579" s="4" t="s">
        <v>202</v>
      </c>
      <c r="D579" s="4" t="s">
        <v>442</v>
      </c>
      <c r="E579" s="4">
        <v>333023436.51999998</v>
      </c>
      <c r="F579" s="4" t="s">
        <v>417</v>
      </c>
      <c r="G579" s="4">
        <v>1</v>
      </c>
      <c r="H579" s="4" t="s">
        <v>498</v>
      </c>
      <c r="I579" s="4" t="s">
        <v>425</v>
      </c>
      <c r="J579" s="4" t="s">
        <v>135</v>
      </c>
      <c r="K579" s="4" t="s">
        <v>444</v>
      </c>
      <c r="L579" s="16" t="s">
        <v>551</v>
      </c>
    </row>
    <row r="580" spans="1:12" ht="36">
      <c r="A580" s="4" t="s">
        <v>118</v>
      </c>
      <c r="B580" s="4">
        <v>2020</v>
      </c>
      <c r="C580" s="4" t="s">
        <v>202</v>
      </c>
      <c r="D580" s="4" t="s">
        <v>394</v>
      </c>
      <c r="E580" s="4">
        <v>4827915.1529999999</v>
      </c>
      <c r="F580" s="4" t="s">
        <v>395</v>
      </c>
      <c r="G580" s="4">
        <v>1000</v>
      </c>
      <c r="H580" s="4" t="s">
        <v>396</v>
      </c>
      <c r="I580" s="4" t="s">
        <v>397</v>
      </c>
      <c r="J580" s="4" t="s">
        <v>135</v>
      </c>
      <c r="K580" s="4" t="s">
        <v>398</v>
      </c>
      <c r="L580" s="16" t="s">
        <v>399</v>
      </c>
    </row>
    <row r="581" spans="1:12" ht="36">
      <c r="A581" s="4" t="s">
        <v>118</v>
      </c>
      <c r="B581" s="4">
        <v>2020</v>
      </c>
      <c r="C581" s="4" t="s">
        <v>202</v>
      </c>
      <c r="D581" s="4" t="s">
        <v>400</v>
      </c>
      <c r="E581" s="4">
        <v>17475.73</v>
      </c>
      <c r="F581" s="4" t="s">
        <v>401</v>
      </c>
      <c r="G581" s="4">
        <v>1</v>
      </c>
      <c r="H581" s="4" t="s">
        <v>402</v>
      </c>
      <c r="I581" s="4" t="s">
        <v>403</v>
      </c>
      <c r="J581" s="4" t="s">
        <v>135</v>
      </c>
      <c r="K581" s="4" t="s">
        <v>404</v>
      </c>
      <c r="L581" s="16" t="s">
        <v>399</v>
      </c>
    </row>
    <row r="582" spans="1:12" ht="15.75">
      <c r="A582" s="4" t="s">
        <v>118</v>
      </c>
      <c r="B582" s="4">
        <v>2020</v>
      </c>
      <c r="C582" s="4" t="s">
        <v>202</v>
      </c>
      <c r="D582" s="4" t="s">
        <v>445</v>
      </c>
      <c r="E582" s="4">
        <v>276264</v>
      </c>
      <c r="F582" s="4" t="s">
        <v>446</v>
      </c>
      <c r="G582" s="4">
        <v>1</v>
      </c>
      <c r="H582" s="4" t="s">
        <v>447</v>
      </c>
      <c r="I582" s="4" t="s">
        <v>448</v>
      </c>
      <c r="J582" s="4" t="s">
        <v>449</v>
      </c>
      <c r="K582" s="4" t="s">
        <v>450</v>
      </c>
      <c r="L582" s="16" t="s">
        <v>540</v>
      </c>
    </row>
    <row r="583" spans="1:12" ht="15.75">
      <c r="A583" s="4" t="s">
        <v>118</v>
      </c>
      <c r="B583" s="4">
        <v>2020</v>
      </c>
      <c r="C583" s="4" t="s">
        <v>202</v>
      </c>
      <c r="D583" s="4" t="s">
        <v>452</v>
      </c>
      <c r="E583" s="4">
        <v>559245766.42999995</v>
      </c>
      <c r="F583" s="4" t="s">
        <v>417</v>
      </c>
      <c r="G583" s="4">
        <v>1</v>
      </c>
      <c r="H583" s="4" t="s">
        <v>453</v>
      </c>
      <c r="I583" s="4" t="s">
        <v>454</v>
      </c>
      <c r="J583" s="4" t="s">
        <v>135</v>
      </c>
      <c r="K583" s="4" t="s">
        <v>455</v>
      </c>
      <c r="L583" s="16" t="s">
        <v>551</v>
      </c>
    </row>
    <row r="584" spans="1:12" ht="36">
      <c r="A584" s="4" t="s">
        <v>118</v>
      </c>
      <c r="B584" s="4">
        <v>2020</v>
      </c>
      <c r="C584" s="4" t="s">
        <v>202</v>
      </c>
      <c r="D584" s="4" t="s">
        <v>456</v>
      </c>
      <c r="E584" s="4">
        <v>552861580.42999995</v>
      </c>
      <c r="F584" s="4" t="s">
        <v>417</v>
      </c>
      <c r="G584" s="4">
        <v>1</v>
      </c>
      <c r="H584" s="4" t="s">
        <v>499</v>
      </c>
      <c r="I584" s="4" t="s">
        <v>478</v>
      </c>
      <c r="J584" s="4" t="s">
        <v>135</v>
      </c>
      <c r="K584" s="4" t="s">
        <v>459</v>
      </c>
      <c r="L584" s="16" t="s">
        <v>551</v>
      </c>
    </row>
    <row r="585" spans="1:12" ht="24">
      <c r="A585" s="4" t="s">
        <v>118</v>
      </c>
      <c r="B585" s="4">
        <v>2020</v>
      </c>
      <c r="C585" s="4" t="s">
        <v>202</v>
      </c>
      <c r="D585" s="4" t="s">
        <v>460</v>
      </c>
      <c r="E585" s="4">
        <v>655184732.33000004</v>
      </c>
      <c r="F585" s="4" t="s">
        <v>417</v>
      </c>
      <c r="G585" s="4">
        <v>1</v>
      </c>
      <c r="H585" s="4" t="s">
        <v>493</v>
      </c>
      <c r="I585" s="4" t="s">
        <v>430</v>
      </c>
      <c r="J585" s="4" t="s">
        <v>135</v>
      </c>
      <c r="K585" s="4" t="s">
        <v>462</v>
      </c>
      <c r="L585" s="16" t="s">
        <v>550</v>
      </c>
    </row>
    <row r="586" spans="1:12" ht="36">
      <c r="A586" s="4" t="s">
        <v>118</v>
      </c>
      <c r="B586" s="4">
        <v>2020</v>
      </c>
      <c r="C586" s="4" t="s">
        <v>202</v>
      </c>
      <c r="D586" s="4" t="s">
        <v>463</v>
      </c>
      <c r="E586" s="4">
        <v>287054794.85000002</v>
      </c>
      <c r="F586" s="4" t="s">
        <v>417</v>
      </c>
      <c r="G586" s="4">
        <v>1</v>
      </c>
      <c r="H586" s="4" t="s">
        <v>484</v>
      </c>
      <c r="I586" s="4" t="s">
        <v>485</v>
      </c>
      <c r="J586" s="4" t="s">
        <v>135</v>
      </c>
      <c r="K586" s="4" t="s">
        <v>466</v>
      </c>
      <c r="L586" s="16" t="s">
        <v>550</v>
      </c>
    </row>
    <row r="587" spans="1:12" ht="36">
      <c r="A587" s="4" t="s">
        <v>118</v>
      </c>
      <c r="B587" s="4">
        <v>2020</v>
      </c>
      <c r="C587" s="4" t="s">
        <v>202</v>
      </c>
      <c r="D587" s="4" t="s">
        <v>467</v>
      </c>
      <c r="E587" s="4">
        <v>82718697.75</v>
      </c>
      <c r="F587" s="4" t="s">
        <v>417</v>
      </c>
      <c r="G587" s="4">
        <v>1</v>
      </c>
      <c r="H587" s="4" t="s">
        <v>486</v>
      </c>
      <c r="I587" s="4" t="s">
        <v>487</v>
      </c>
      <c r="J587" s="4" t="s">
        <v>135</v>
      </c>
      <c r="K587" s="4" t="s">
        <v>466</v>
      </c>
      <c r="L587" s="16" t="s">
        <v>550</v>
      </c>
    </row>
    <row r="588" spans="1:12" ht="24">
      <c r="A588" s="4" t="s">
        <v>118</v>
      </c>
      <c r="B588" s="4">
        <v>2021</v>
      </c>
      <c r="C588" s="4" t="s">
        <v>205</v>
      </c>
      <c r="D588" s="4" t="s">
        <v>416</v>
      </c>
      <c r="E588" s="4">
        <v>106282243.03</v>
      </c>
      <c r="F588" s="4" t="s">
        <v>417</v>
      </c>
      <c r="G588" s="4">
        <v>1</v>
      </c>
      <c r="H588" s="4" t="s">
        <v>479</v>
      </c>
      <c r="I588" s="4" t="s">
        <v>480</v>
      </c>
      <c r="J588" s="4" t="s">
        <v>135</v>
      </c>
      <c r="K588" s="4" t="s">
        <v>420</v>
      </c>
      <c r="L588" s="16" t="s">
        <v>553</v>
      </c>
    </row>
    <row r="589" spans="1:12" ht="24">
      <c r="A589" s="4" t="s">
        <v>118</v>
      </c>
      <c r="B589" s="4">
        <v>2021</v>
      </c>
      <c r="C589" s="4" t="s">
        <v>205</v>
      </c>
      <c r="D589" s="4" t="s">
        <v>422</v>
      </c>
      <c r="E589" s="4">
        <v>53.21</v>
      </c>
      <c r="F589" s="4" t="s">
        <v>423</v>
      </c>
      <c r="G589" s="4">
        <v>1</v>
      </c>
      <c r="H589" s="4" t="s">
        <v>495</v>
      </c>
      <c r="I589" s="4" t="s">
        <v>425</v>
      </c>
      <c r="J589" s="4" t="s">
        <v>135</v>
      </c>
      <c r="K589" s="4" t="s">
        <v>426</v>
      </c>
      <c r="L589" s="16" t="s">
        <v>554</v>
      </c>
    </row>
    <row r="590" spans="1:12" ht="24">
      <c r="A590" s="4" t="s">
        <v>118</v>
      </c>
      <c r="B590" s="4">
        <v>2021</v>
      </c>
      <c r="C590" s="4" t="s">
        <v>205</v>
      </c>
      <c r="D590" s="4" t="s">
        <v>428</v>
      </c>
      <c r="E590" s="4">
        <v>42924271.869999997</v>
      </c>
      <c r="F590" s="4" t="s">
        <v>417</v>
      </c>
      <c r="G590" s="4">
        <v>1</v>
      </c>
      <c r="H590" s="4" t="s">
        <v>429</v>
      </c>
      <c r="I590" s="4" t="s">
        <v>430</v>
      </c>
      <c r="J590" s="4" t="s">
        <v>431</v>
      </c>
      <c r="K590" s="4" t="s">
        <v>432</v>
      </c>
      <c r="L590" s="16" t="s">
        <v>553</v>
      </c>
    </row>
    <row r="591" spans="1:12" ht="15.75">
      <c r="A591" s="4" t="s">
        <v>118</v>
      </c>
      <c r="B591" s="4">
        <v>2021</v>
      </c>
      <c r="C591" s="4" t="s">
        <v>205</v>
      </c>
      <c r="D591" s="4" t="s">
        <v>433</v>
      </c>
      <c r="E591" s="4">
        <v>658365860.13999999</v>
      </c>
      <c r="F591" s="4" t="s">
        <v>417</v>
      </c>
      <c r="G591" s="4">
        <v>1</v>
      </c>
      <c r="H591" s="4" t="s">
        <v>434</v>
      </c>
      <c r="I591" s="4" t="s">
        <v>435</v>
      </c>
      <c r="J591" s="4" t="s">
        <v>135</v>
      </c>
      <c r="K591" s="4" t="s">
        <v>436</v>
      </c>
      <c r="L591" s="16" t="s">
        <v>555</v>
      </c>
    </row>
    <row r="592" spans="1:12" ht="15.75">
      <c r="A592" s="4" t="s">
        <v>118</v>
      </c>
      <c r="B592" s="4">
        <v>2021</v>
      </c>
      <c r="C592" s="4" t="s">
        <v>205</v>
      </c>
      <c r="D592" s="4" t="s">
        <v>438</v>
      </c>
      <c r="E592" s="4">
        <v>647624040.26999998</v>
      </c>
      <c r="F592" s="4" t="s">
        <v>417</v>
      </c>
      <c r="G592" s="4">
        <v>1</v>
      </c>
      <c r="H592" s="4" t="s">
        <v>439</v>
      </c>
      <c r="I592" s="4" t="s">
        <v>435</v>
      </c>
      <c r="J592" s="4" t="s">
        <v>135</v>
      </c>
      <c r="K592" s="4" t="s">
        <v>436</v>
      </c>
      <c r="L592" s="16" t="s">
        <v>555</v>
      </c>
    </row>
    <row r="593" spans="1:12" ht="15.75">
      <c r="A593" s="4" t="s">
        <v>118</v>
      </c>
      <c r="B593" s="4">
        <v>2021</v>
      </c>
      <c r="C593" s="4" t="s">
        <v>205</v>
      </c>
      <c r="D593" s="4" t="s">
        <v>440</v>
      </c>
      <c r="E593" s="4">
        <v>595069975.32000005</v>
      </c>
      <c r="F593" s="4" t="s">
        <v>417</v>
      </c>
      <c r="G593" s="4">
        <v>1</v>
      </c>
      <c r="H593" s="4" t="s">
        <v>441</v>
      </c>
      <c r="I593" s="4" t="s">
        <v>435</v>
      </c>
      <c r="J593" s="4" t="s">
        <v>135</v>
      </c>
      <c r="K593" s="4" t="s">
        <v>436</v>
      </c>
      <c r="L593" s="16" t="s">
        <v>555</v>
      </c>
    </row>
    <row r="594" spans="1:12" ht="24">
      <c r="A594" s="4" t="s">
        <v>118</v>
      </c>
      <c r="B594" s="4">
        <v>2021</v>
      </c>
      <c r="C594" s="4" t="s">
        <v>205</v>
      </c>
      <c r="D594" s="4" t="s">
        <v>442</v>
      </c>
      <c r="E594" s="4">
        <v>332520731.26999998</v>
      </c>
      <c r="F594" s="4" t="s">
        <v>417</v>
      </c>
      <c r="G594" s="4">
        <v>1</v>
      </c>
      <c r="H594" s="4" t="s">
        <v>498</v>
      </c>
      <c r="I594" s="4" t="s">
        <v>425</v>
      </c>
      <c r="J594" s="4" t="s">
        <v>135</v>
      </c>
      <c r="K594" s="4" t="s">
        <v>444</v>
      </c>
      <c r="L594" s="16" t="s">
        <v>554</v>
      </c>
    </row>
    <row r="595" spans="1:12" ht="15.75">
      <c r="A595" s="4" t="s">
        <v>118</v>
      </c>
      <c r="B595" s="4">
        <v>2021</v>
      </c>
      <c r="C595" s="4" t="s">
        <v>205</v>
      </c>
      <c r="D595" s="4" t="s">
        <v>374</v>
      </c>
      <c r="E595" s="4">
        <v>4.9783330000000001</v>
      </c>
      <c r="F595" s="4" t="s">
        <v>375</v>
      </c>
      <c r="G595" s="4">
        <v>1</v>
      </c>
      <c r="H595" s="4" t="s">
        <v>503</v>
      </c>
      <c r="I595" s="4" t="s">
        <v>377</v>
      </c>
      <c r="J595" s="4" t="s">
        <v>378</v>
      </c>
      <c r="K595" s="4" t="s">
        <v>379</v>
      </c>
      <c r="L595" s="16" t="s">
        <v>380</v>
      </c>
    </row>
    <row r="596" spans="1:12" ht="15.75">
      <c r="A596" s="4" t="s">
        <v>118</v>
      </c>
      <c r="B596" s="4">
        <v>2021</v>
      </c>
      <c r="C596" s="4" t="s">
        <v>205</v>
      </c>
      <c r="D596" s="4" t="s">
        <v>381</v>
      </c>
      <c r="E596" s="4">
        <v>5.4466279999999996</v>
      </c>
      <c r="F596" s="4" t="s">
        <v>375</v>
      </c>
      <c r="G596" s="4">
        <v>1</v>
      </c>
      <c r="H596" s="4" t="s">
        <v>503</v>
      </c>
      <c r="I596" s="4" t="s">
        <v>377</v>
      </c>
      <c r="J596" s="4" t="s">
        <v>378</v>
      </c>
      <c r="K596" s="4" t="s">
        <v>379</v>
      </c>
      <c r="L596" s="16" t="s">
        <v>382</v>
      </c>
    </row>
    <row r="597" spans="1:12" ht="15.75">
      <c r="A597" s="4" t="s">
        <v>118</v>
      </c>
      <c r="B597" s="4">
        <v>2021</v>
      </c>
      <c r="C597" s="4" t="s">
        <v>205</v>
      </c>
      <c r="D597" s="4" t="s">
        <v>383</v>
      </c>
      <c r="E597" s="4">
        <v>0.99799899999999997</v>
      </c>
      <c r="F597" s="4" t="s">
        <v>384</v>
      </c>
      <c r="G597" s="4">
        <v>1</v>
      </c>
      <c r="H597" s="4" t="s">
        <v>504</v>
      </c>
      <c r="I597" s="4" t="s">
        <v>377</v>
      </c>
      <c r="J597" s="4" t="s">
        <v>378</v>
      </c>
      <c r="K597" s="4" t="s">
        <v>379</v>
      </c>
      <c r="L597" s="16" t="s">
        <v>380</v>
      </c>
    </row>
    <row r="598" spans="1:12" ht="15.75">
      <c r="A598" s="4" t="s">
        <v>118</v>
      </c>
      <c r="B598" s="4">
        <v>2021</v>
      </c>
      <c r="C598" s="4" t="s">
        <v>205</v>
      </c>
      <c r="D598" s="4" t="s">
        <v>386</v>
      </c>
      <c r="E598" s="4">
        <v>1</v>
      </c>
      <c r="F598" s="4" t="s">
        <v>384</v>
      </c>
      <c r="G598" s="4">
        <v>1</v>
      </c>
      <c r="H598" s="4" t="s">
        <v>504</v>
      </c>
      <c r="I598" s="4" t="s">
        <v>377</v>
      </c>
      <c r="J598" s="4" t="s">
        <v>378</v>
      </c>
      <c r="K598" s="4" t="s">
        <v>379</v>
      </c>
      <c r="L598" s="16" t="s">
        <v>382</v>
      </c>
    </row>
    <row r="599" spans="1:12" ht="36">
      <c r="A599" s="4" t="s">
        <v>118</v>
      </c>
      <c r="B599" s="4">
        <v>2021</v>
      </c>
      <c r="C599" s="4" t="s">
        <v>205</v>
      </c>
      <c r="D599" s="4" t="s">
        <v>394</v>
      </c>
      <c r="E599" s="4">
        <v>5114785.9780000001</v>
      </c>
      <c r="F599" s="4" t="s">
        <v>395</v>
      </c>
      <c r="G599" s="4">
        <v>1000</v>
      </c>
      <c r="H599" s="4" t="s">
        <v>396</v>
      </c>
      <c r="I599" s="4" t="s">
        <v>397</v>
      </c>
      <c r="J599" s="4" t="s">
        <v>135</v>
      </c>
      <c r="K599" s="4" t="s">
        <v>398</v>
      </c>
      <c r="L599" s="16" t="s">
        <v>399</v>
      </c>
    </row>
    <row r="600" spans="1:12" ht="36">
      <c r="A600" s="4" t="s">
        <v>118</v>
      </c>
      <c r="B600" s="4">
        <v>2021</v>
      </c>
      <c r="C600" s="4" t="s">
        <v>205</v>
      </c>
      <c r="D600" s="4" t="s">
        <v>400</v>
      </c>
      <c r="E600" s="4">
        <v>18381.060000000001</v>
      </c>
      <c r="F600" s="4" t="s">
        <v>401</v>
      </c>
      <c r="G600" s="4">
        <v>1</v>
      </c>
      <c r="H600" s="4" t="s">
        <v>402</v>
      </c>
      <c r="I600" s="4" t="s">
        <v>403</v>
      </c>
      <c r="J600" s="4" t="s">
        <v>135</v>
      </c>
      <c r="K600" s="4" t="s">
        <v>404</v>
      </c>
      <c r="L600" s="16" t="s">
        <v>399</v>
      </c>
    </row>
    <row r="601" spans="1:12" ht="15.75">
      <c r="A601" s="4" t="s">
        <v>118</v>
      </c>
      <c r="B601" s="4">
        <v>2021</v>
      </c>
      <c r="C601" s="4" t="s">
        <v>205</v>
      </c>
      <c r="D601" s="4" t="s">
        <v>445</v>
      </c>
      <c r="E601" s="4">
        <v>278264</v>
      </c>
      <c r="F601" s="4" t="s">
        <v>446</v>
      </c>
      <c r="G601" s="4">
        <v>1</v>
      </c>
      <c r="H601" s="4" t="s">
        <v>447</v>
      </c>
      <c r="I601" s="4" t="s">
        <v>448</v>
      </c>
      <c r="J601" s="4" t="s">
        <v>449</v>
      </c>
      <c r="K601" s="4" t="s">
        <v>450</v>
      </c>
      <c r="L601" s="16" t="s">
        <v>540</v>
      </c>
    </row>
    <row r="602" spans="1:12" ht="15.75">
      <c r="A602" s="4" t="s">
        <v>118</v>
      </c>
      <c r="B602" s="4">
        <v>2021</v>
      </c>
      <c r="C602" s="4" t="s">
        <v>205</v>
      </c>
      <c r="D602" s="4" t="s">
        <v>452</v>
      </c>
      <c r="E602" s="4">
        <v>626683074.88</v>
      </c>
      <c r="F602" s="4" t="s">
        <v>417</v>
      </c>
      <c r="G602" s="4">
        <v>1</v>
      </c>
      <c r="H602" s="4" t="s">
        <v>453</v>
      </c>
      <c r="I602" s="4" t="s">
        <v>454</v>
      </c>
      <c r="J602" s="4" t="s">
        <v>135</v>
      </c>
      <c r="K602" s="4" t="s">
        <v>455</v>
      </c>
      <c r="L602" s="16" t="s">
        <v>554</v>
      </c>
    </row>
    <row r="603" spans="1:12" ht="36">
      <c r="A603" s="4" t="s">
        <v>118</v>
      </c>
      <c r="B603" s="4">
        <v>2021</v>
      </c>
      <c r="C603" s="4" t="s">
        <v>205</v>
      </c>
      <c r="D603" s="4" t="s">
        <v>456</v>
      </c>
      <c r="E603" s="4">
        <v>624863053.88</v>
      </c>
      <c r="F603" s="4" t="s">
        <v>417</v>
      </c>
      <c r="G603" s="4">
        <v>1</v>
      </c>
      <c r="H603" s="4" t="s">
        <v>499</v>
      </c>
      <c r="I603" s="4" t="s">
        <v>478</v>
      </c>
      <c r="J603" s="4" t="s">
        <v>135</v>
      </c>
      <c r="K603" s="4" t="s">
        <v>459</v>
      </c>
      <c r="L603" s="16" t="s">
        <v>554</v>
      </c>
    </row>
    <row r="604" spans="1:12" ht="24">
      <c r="A604" s="4" t="s">
        <v>118</v>
      </c>
      <c r="B604" s="4">
        <v>2021</v>
      </c>
      <c r="C604" s="4" t="s">
        <v>205</v>
      </c>
      <c r="D604" s="4" t="s">
        <v>460</v>
      </c>
      <c r="E604" s="4">
        <v>761667224.14999998</v>
      </c>
      <c r="F604" s="4" t="s">
        <v>417</v>
      </c>
      <c r="G604" s="4">
        <v>1</v>
      </c>
      <c r="H604" s="4" t="s">
        <v>493</v>
      </c>
      <c r="I604" s="4" t="s">
        <v>430</v>
      </c>
      <c r="J604" s="4" t="s">
        <v>135</v>
      </c>
      <c r="K604" s="4" t="s">
        <v>462</v>
      </c>
      <c r="L604" s="16" t="s">
        <v>553</v>
      </c>
    </row>
    <row r="605" spans="1:12" ht="36">
      <c r="A605" s="4" t="s">
        <v>118</v>
      </c>
      <c r="B605" s="4">
        <v>2021</v>
      </c>
      <c r="C605" s="4" t="s">
        <v>205</v>
      </c>
      <c r="D605" s="4" t="s">
        <v>463</v>
      </c>
      <c r="E605" s="4">
        <v>293512310.99000001</v>
      </c>
      <c r="F605" s="4" t="s">
        <v>417</v>
      </c>
      <c r="G605" s="4">
        <v>1</v>
      </c>
      <c r="H605" s="4" t="s">
        <v>484</v>
      </c>
      <c r="I605" s="4" t="s">
        <v>485</v>
      </c>
      <c r="J605" s="4" t="s">
        <v>135</v>
      </c>
      <c r="K605" s="4" t="s">
        <v>466</v>
      </c>
      <c r="L605" s="16" t="s">
        <v>553</v>
      </c>
    </row>
    <row r="606" spans="1:12" ht="36">
      <c r="A606" s="4" t="s">
        <v>118</v>
      </c>
      <c r="B606" s="4">
        <v>2021</v>
      </c>
      <c r="C606" s="4" t="s">
        <v>205</v>
      </c>
      <c r="D606" s="4" t="s">
        <v>467</v>
      </c>
      <c r="E606" s="4">
        <v>99517076.840000004</v>
      </c>
      <c r="F606" s="4" t="s">
        <v>417</v>
      </c>
      <c r="G606" s="4">
        <v>1</v>
      </c>
      <c r="H606" s="4" t="s">
        <v>486</v>
      </c>
      <c r="I606" s="4" t="s">
        <v>487</v>
      </c>
      <c r="J606" s="4" t="s">
        <v>135</v>
      </c>
      <c r="K606" s="4" t="s">
        <v>466</v>
      </c>
      <c r="L606" s="16" t="s">
        <v>553</v>
      </c>
    </row>
    <row r="607" spans="1:12" ht="24">
      <c r="A607" s="4" t="s">
        <v>118</v>
      </c>
      <c r="B607" s="4">
        <v>2022</v>
      </c>
      <c r="C607" s="4" t="s">
        <v>209</v>
      </c>
      <c r="D607" s="4" t="s">
        <v>416</v>
      </c>
      <c r="E607" s="4">
        <v>140229049.44</v>
      </c>
      <c r="F607" s="4" t="s">
        <v>417</v>
      </c>
      <c r="G607" s="4">
        <v>1</v>
      </c>
      <c r="H607" s="4" t="s">
        <v>479</v>
      </c>
      <c r="I607" s="4" t="s">
        <v>480</v>
      </c>
      <c r="J607" s="4" t="s">
        <v>135</v>
      </c>
      <c r="K607" s="4" t="s">
        <v>420</v>
      </c>
      <c r="L607" s="16" t="s">
        <v>556</v>
      </c>
    </row>
    <row r="608" spans="1:12" ht="24">
      <c r="A608" s="4" t="s">
        <v>118</v>
      </c>
      <c r="B608" s="4">
        <v>2022</v>
      </c>
      <c r="C608" s="4" t="s">
        <v>209</v>
      </c>
      <c r="D608" s="4" t="s">
        <v>422</v>
      </c>
      <c r="E608" s="4">
        <v>53.88</v>
      </c>
      <c r="F608" s="4" t="s">
        <v>423</v>
      </c>
      <c r="G608" s="4">
        <v>1</v>
      </c>
      <c r="H608" s="4" t="s">
        <v>495</v>
      </c>
      <c r="I608" s="4" t="s">
        <v>425</v>
      </c>
      <c r="J608" s="4" t="s">
        <v>135</v>
      </c>
      <c r="K608" s="4" t="s">
        <v>426</v>
      </c>
      <c r="L608" s="16" t="s">
        <v>557</v>
      </c>
    </row>
    <row r="609" spans="1:12" ht="24">
      <c r="A609" s="4" t="s">
        <v>118</v>
      </c>
      <c r="B609" s="4">
        <v>2022</v>
      </c>
      <c r="C609" s="4" t="s">
        <v>209</v>
      </c>
      <c r="D609" s="4" t="s">
        <v>428</v>
      </c>
      <c r="E609" s="4">
        <v>50423467.020000003</v>
      </c>
      <c r="F609" s="4" t="s">
        <v>417</v>
      </c>
      <c r="G609" s="4">
        <v>1</v>
      </c>
      <c r="H609" s="4" t="s">
        <v>429</v>
      </c>
      <c r="I609" s="4" t="s">
        <v>430</v>
      </c>
      <c r="J609" s="4" t="s">
        <v>431</v>
      </c>
      <c r="K609" s="4" t="s">
        <v>432</v>
      </c>
      <c r="L609" s="16" t="s">
        <v>556</v>
      </c>
    </row>
    <row r="610" spans="1:12" ht="15.75">
      <c r="A610" s="4" t="s">
        <v>118</v>
      </c>
      <c r="B610" s="4">
        <v>2022</v>
      </c>
      <c r="C610" s="4" t="s">
        <v>209</v>
      </c>
      <c r="D610" s="4" t="s">
        <v>433</v>
      </c>
      <c r="E610" s="4">
        <v>830659847.61000001</v>
      </c>
      <c r="F610" s="4" t="s">
        <v>417</v>
      </c>
      <c r="G610" s="4">
        <v>1</v>
      </c>
      <c r="H610" s="4" t="s">
        <v>434</v>
      </c>
      <c r="I610" s="4" t="s">
        <v>435</v>
      </c>
      <c r="J610" s="4" t="s">
        <v>135</v>
      </c>
      <c r="K610" s="4" t="s">
        <v>436</v>
      </c>
      <c r="L610" s="16" t="s">
        <v>558</v>
      </c>
    </row>
    <row r="611" spans="1:12" ht="15.75">
      <c r="A611" s="4" t="s">
        <v>118</v>
      </c>
      <c r="B611" s="4">
        <v>2022</v>
      </c>
      <c r="C611" s="4" t="s">
        <v>209</v>
      </c>
      <c r="D611" s="4" t="s">
        <v>438</v>
      </c>
      <c r="E611" s="4">
        <v>821647388.13999999</v>
      </c>
      <c r="F611" s="4" t="s">
        <v>417</v>
      </c>
      <c r="G611" s="4">
        <v>1</v>
      </c>
      <c r="H611" s="4" t="s">
        <v>439</v>
      </c>
      <c r="I611" s="4" t="s">
        <v>435</v>
      </c>
      <c r="J611" s="4" t="s">
        <v>135</v>
      </c>
      <c r="K611" s="4" t="s">
        <v>436</v>
      </c>
      <c r="L611" s="16" t="s">
        <v>558</v>
      </c>
    </row>
    <row r="612" spans="1:12" ht="15.75">
      <c r="A612" s="4" t="s">
        <v>118</v>
      </c>
      <c r="B612" s="4">
        <v>2022</v>
      </c>
      <c r="C612" s="4" t="s">
        <v>209</v>
      </c>
      <c r="D612" s="4" t="s">
        <v>440</v>
      </c>
      <c r="E612" s="4">
        <v>786618006.24000001</v>
      </c>
      <c r="F612" s="4" t="s">
        <v>417</v>
      </c>
      <c r="G612" s="4">
        <v>1</v>
      </c>
      <c r="H612" s="4" t="s">
        <v>441</v>
      </c>
      <c r="I612" s="4" t="s">
        <v>435</v>
      </c>
      <c r="J612" s="4" t="s">
        <v>135</v>
      </c>
      <c r="K612" s="4" t="s">
        <v>436</v>
      </c>
      <c r="L612" s="16" t="s">
        <v>558</v>
      </c>
    </row>
    <row r="613" spans="1:12" ht="24">
      <c r="A613" s="4" t="s">
        <v>118</v>
      </c>
      <c r="B613" s="4">
        <v>2022</v>
      </c>
      <c r="C613" s="4" t="s">
        <v>209</v>
      </c>
      <c r="D613" s="4" t="s">
        <v>442</v>
      </c>
      <c r="E613" s="4">
        <v>418626238.45999998</v>
      </c>
      <c r="F613" s="4" t="s">
        <v>417</v>
      </c>
      <c r="G613" s="4">
        <v>1</v>
      </c>
      <c r="H613" s="4" t="s">
        <v>498</v>
      </c>
      <c r="I613" s="4" t="s">
        <v>425</v>
      </c>
      <c r="J613" s="4" t="s">
        <v>135</v>
      </c>
      <c r="K613" s="4" t="s">
        <v>444</v>
      </c>
      <c r="L613" s="16" t="s">
        <v>557</v>
      </c>
    </row>
    <row r="614" spans="1:12" ht="36">
      <c r="A614" s="4" t="s">
        <v>118</v>
      </c>
      <c r="B614" s="4">
        <v>2022</v>
      </c>
      <c r="C614" s="4" t="s">
        <v>209</v>
      </c>
      <c r="D614" s="4" t="s">
        <v>394</v>
      </c>
      <c r="E614" s="4">
        <v>5783730.2089999998</v>
      </c>
      <c r="F614" s="4" t="s">
        <v>395</v>
      </c>
      <c r="G614" s="4">
        <v>1000</v>
      </c>
      <c r="H614" s="4" t="s">
        <v>396</v>
      </c>
      <c r="I614" s="4" t="s">
        <v>397</v>
      </c>
      <c r="J614" s="4" t="s">
        <v>135</v>
      </c>
      <c r="K614" s="4" t="s">
        <v>398</v>
      </c>
      <c r="L614" s="16" t="s">
        <v>399</v>
      </c>
    </row>
    <row r="615" spans="1:12" ht="36">
      <c r="A615" s="4" t="s">
        <v>118</v>
      </c>
      <c r="B615" s="4">
        <v>2022</v>
      </c>
      <c r="C615" s="4" t="s">
        <v>209</v>
      </c>
      <c r="D615" s="4" t="s">
        <v>400</v>
      </c>
      <c r="E615" s="4">
        <v>20214.349999999999</v>
      </c>
      <c r="F615" s="4" t="s">
        <v>401</v>
      </c>
      <c r="G615" s="4">
        <v>1</v>
      </c>
      <c r="H615" s="4" t="s">
        <v>402</v>
      </c>
      <c r="I615" s="4" t="s">
        <v>403</v>
      </c>
      <c r="J615" s="4" t="s">
        <v>135</v>
      </c>
      <c r="K615" s="4" t="s">
        <v>404</v>
      </c>
      <c r="L615" s="16" t="s">
        <v>399</v>
      </c>
    </row>
    <row r="616" spans="1:12" ht="15.75">
      <c r="A616" s="4" t="s">
        <v>118</v>
      </c>
      <c r="B616" s="4">
        <v>2022</v>
      </c>
      <c r="C616" s="4" t="s">
        <v>209</v>
      </c>
      <c r="D616" s="4" t="s">
        <v>445</v>
      </c>
      <c r="E616" s="4">
        <v>286120</v>
      </c>
      <c r="F616" s="4" t="s">
        <v>446</v>
      </c>
      <c r="G616" s="4">
        <v>1</v>
      </c>
      <c r="H616" s="4" t="s">
        <v>508</v>
      </c>
      <c r="I616" s="4" t="s">
        <v>509</v>
      </c>
      <c r="J616" s="4" t="s">
        <v>510</v>
      </c>
      <c r="K616" s="4" t="s">
        <v>511</v>
      </c>
      <c r="L616" s="16" t="s">
        <v>559</v>
      </c>
    </row>
    <row r="617" spans="1:12" ht="15.75">
      <c r="A617" s="4" t="s">
        <v>118</v>
      </c>
      <c r="B617" s="4">
        <v>2022</v>
      </c>
      <c r="C617" s="4" t="s">
        <v>209</v>
      </c>
      <c r="D617" s="4" t="s">
        <v>452</v>
      </c>
      <c r="E617" s="4">
        <v>777407975.14999998</v>
      </c>
      <c r="F617" s="4" t="s">
        <v>417</v>
      </c>
      <c r="G617" s="4">
        <v>1</v>
      </c>
      <c r="H617" s="4" t="s">
        <v>453</v>
      </c>
      <c r="I617" s="4" t="s">
        <v>454</v>
      </c>
      <c r="J617" s="4" t="s">
        <v>135</v>
      </c>
      <c r="K617" s="4" t="s">
        <v>455</v>
      </c>
      <c r="L617" s="16" t="s">
        <v>557</v>
      </c>
    </row>
    <row r="618" spans="1:12" ht="36">
      <c r="A618" s="4" t="s">
        <v>118</v>
      </c>
      <c r="B618" s="4">
        <v>2022</v>
      </c>
      <c r="C618" s="4" t="s">
        <v>209</v>
      </c>
      <c r="D618" s="4" t="s">
        <v>456</v>
      </c>
      <c r="E618" s="4">
        <v>776932368.14999998</v>
      </c>
      <c r="F618" s="4" t="s">
        <v>417</v>
      </c>
      <c r="G618" s="4">
        <v>1</v>
      </c>
      <c r="H618" s="4" t="s">
        <v>499</v>
      </c>
      <c r="I618" s="4" t="s">
        <v>478</v>
      </c>
      <c r="J618" s="4" t="s">
        <v>135</v>
      </c>
      <c r="K618" s="4" t="s">
        <v>459</v>
      </c>
      <c r="L618" s="16" t="s">
        <v>557</v>
      </c>
    </row>
    <row r="619" spans="1:12" ht="24">
      <c r="A619" s="4" t="s">
        <v>118</v>
      </c>
      <c r="B619" s="4">
        <v>2022</v>
      </c>
      <c r="C619" s="4" t="s">
        <v>209</v>
      </c>
      <c r="D619" s="4" t="s">
        <v>460</v>
      </c>
      <c r="E619" s="4">
        <v>956209779.94000006</v>
      </c>
      <c r="F619" s="4" t="s">
        <v>417</v>
      </c>
      <c r="G619" s="4">
        <v>1</v>
      </c>
      <c r="H619" s="4" t="s">
        <v>493</v>
      </c>
      <c r="I619" s="4" t="s">
        <v>430</v>
      </c>
      <c r="J619" s="4" t="s">
        <v>135</v>
      </c>
      <c r="K619" s="4" t="s">
        <v>462</v>
      </c>
      <c r="L619" s="16" t="s">
        <v>556</v>
      </c>
    </row>
    <row r="620" spans="1:12" ht="36">
      <c r="A620" s="4" t="s">
        <v>118</v>
      </c>
      <c r="B620" s="4">
        <v>2022</v>
      </c>
      <c r="C620" s="4" t="s">
        <v>209</v>
      </c>
      <c r="D620" s="4" t="s">
        <v>463</v>
      </c>
      <c r="E620" s="4">
        <v>368645771.56999999</v>
      </c>
      <c r="F620" s="4" t="s">
        <v>417</v>
      </c>
      <c r="G620" s="4">
        <v>1</v>
      </c>
      <c r="H620" s="4" t="s">
        <v>484</v>
      </c>
      <c r="I620" s="4" t="s">
        <v>485</v>
      </c>
      <c r="J620" s="4" t="s">
        <v>135</v>
      </c>
      <c r="K620" s="4" t="s">
        <v>466</v>
      </c>
      <c r="L620" s="16" t="s">
        <v>556</v>
      </c>
    </row>
    <row r="621" spans="1:12" ht="36">
      <c r="A621" s="4" t="s">
        <v>118</v>
      </c>
      <c r="B621" s="4">
        <v>2022</v>
      </c>
      <c r="C621" s="4" t="s">
        <v>209</v>
      </c>
      <c r="D621" s="4" t="s">
        <v>467</v>
      </c>
      <c r="E621" s="4">
        <v>106534080.25</v>
      </c>
      <c r="F621" s="4" t="s">
        <v>417</v>
      </c>
      <c r="G621" s="4">
        <v>1</v>
      </c>
      <c r="H621" s="4" t="s">
        <v>486</v>
      </c>
      <c r="I621" s="4" t="s">
        <v>487</v>
      </c>
      <c r="J621" s="4" t="s">
        <v>135</v>
      </c>
      <c r="K621" s="4" t="s">
        <v>466</v>
      </c>
      <c r="L621" s="16" t="s">
        <v>556</v>
      </c>
    </row>
    <row r="622" spans="1:12" ht="24">
      <c r="A622" s="4" t="s">
        <v>118</v>
      </c>
      <c r="B622" s="4">
        <v>2023</v>
      </c>
      <c r="C622" s="4" t="s">
        <v>212</v>
      </c>
      <c r="D622" s="4" t="s">
        <v>416</v>
      </c>
      <c r="E622" s="4">
        <v>160515698.93000001</v>
      </c>
      <c r="F622" s="4" t="s">
        <v>417</v>
      </c>
      <c r="G622" s="4">
        <v>1</v>
      </c>
      <c r="H622" s="4" t="s">
        <v>479</v>
      </c>
      <c r="I622" s="4" t="s">
        <v>480</v>
      </c>
      <c r="J622" s="4" t="s">
        <v>135</v>
      </c>
      <c r="K622" s="4" t="s">
        <v>420</v>
      </c>
      <c r="L622" s="16" t="s">
        <v>560</v>
      </c>
    </row>
    <row r="623" spans="1:12" ht="24">
      <c r="A623" s="4" t="s">
        <v>118</v>
      </c>
      <c r="B623" s="4">
        <v>2023</v>
      </c>
      <c r="C623" s="4" t="s">
        <v>212</v>
      </c>
      <c r="D623" s="4" t="s">
        <v>422</v>
      </c>
      <c r="E623" s="4">
        <v>53.78</v>
      </c>
      <c r="F623" s="4" t="s">
        <v>423</v>
      </c>
      <c r="G623" s="4">
        <v>1</v>
      </c>
      <c r="H623" s="4" t="s">
        <v>495</v>
      </c>
      <c r="I623" s="4" t="s">
        <v>425</v>
      </c>
      <c r="J623" s="4" t="s">
        <v>135</v>
      </c>
      <c r="K623" s="4" t="s">
        <v>426</v>
      </c>
      <c r="L623" s="16" t="s">
        <v>561</v>
      </c>
    </row>
    <row r="624" spans="1:12" ht="24">
      <c r="A624" s="4" t="s">
        <v>118</v>
      </c>
      <c r="B624" s="4">
        <v>2023</v>
      </c>
      <c r="C624" s="4" t="s">
        <v>212</v>
      </c>
      <c r="D624" s="4" t="s">
        <v>428</v>
      </c>
      <c r="E624" s="4">
        <v>52394076.740000002</v>
      </c>
      <c r="F624" s="4" t="s">
        <v>417</v>
      </c>
      <c r="G624" s="4">
        <v>1</v>
      </c>
      <c r="H624" s="4" t="s">
        <v>429</v>
      </c>
      <c r="I624" s="4" t="s">
        <v>430</v>
      </c>
      <c r="J624" s="4" t="s">
        <v>431</v>
      </c>
      <c r="K624" s="4" t="s">
        <v>432</v>
      </c>
      <c r="L624" s="16" t="s">
        <v>560</v>
      </c>
    </row>
    <row r="625" spans="1:12" ht="15.75">
      <c r="A625" s="4" t="s">
        <v>118</v>
      </c>
      <c r="B625" s="4">
        <v>2023</v>
      </c>
      <c r="C625" s="4" t="s">
        <v>212</v>
      </c>
      <c r="D625" s="4" t="s">
        <v>433</v>
      </c>
      <c r="E625" s="4">
        <v>913803631.22000003</v>
      </c>
      <c r="F625" s="4" t="s">
        <v>417</v>
      </c>
      <c r="G625" s="4">
        <v>1</v>
      </c>
      <c r="H625" s="4" t="s">
        <v>434</v>
      </c>
      <c r="I625" s="4" t="s">
        <v>435</v>
      </c>
      <c r="J625" s="4" t="s">
        <v>135</v>
      </c>
      <c r="K625" s="4" t="s">
        <v>436</v>
      </c>
      <c r="L625" s="16" t="s">
        <v>562</v>
      </c>
    </row>
    <row r="626" spans="1:12" ht="15.75">
      <c r="A626" s="4" t="s">
        <v>118</v>
      </c>
      <c r="B626" s="4">
        <v>2023</v>
      </c>
      <c r="C626" s="4" t="s">
        <v>212</v>
      </c>
      <c r="D626" s="4" t="s">
        <v>438</v>
      </c>
      <c r="E626" s="4">
        <v>900864379.65999997</v>
      </c>
      <c r="F626" s="4" t="s">
        <v>417</v>
      </c>
      <c r="G626" s="4">
        <v>1</v>
      </c>
      <c r="H626" s="4" t="s">
        <v>439</v>
      </c>
      <c r="I626" s="4" t="s">
        <v>435</v>
      </c>
      <c r="J626" s="4" t="s">
        <v>135</v>
      </c>
      <c r="K626" s="4" t="s">
        <v>436</v>
      </c>
      <c r="L626" s="16" t="s">
        <v>562</v>
      </c>
    </row>
    <row r="627" spans="1:12" ht="15.75">
      <c r="A627" s="4" t="s">
        <v>118</v>
      </c>
      <c r="B627" s="4">
        <v>2023</v>
      </c>
      <c r="C627" s="4" t="s">
        <v>212</v>
      </c>
      <c r="D627" s="4" t="s">
        <v>440</v>
      </c>
      <c r="E627" s="4">
        <v>860651823.80999994</v>
      </c>
      <c r="F627" s="4" t="s">
        <v>417</v>
      </c>
      <c r="G627" s="4">
        <v>1</v>
      </c>
      <c r="H627" s="4" t="s">
        <v>441</v>
      </c>
      <c r="I627" s="4" t="s">
        <v>435</v>
      </c>
      <c r="J627" s="4" t="s">
        <v>135</v>
      </c>
      <c r="K627" s="4" t="s">
        <v>436</v>
      </c>
      <c r="L627" s="16" t="s">
        <v>562</v>
      </c>
    </row>
    <row r="628" spans="1:12" ht="24">
      <c r="A628" s="4" t="s">
        <v>118</v>
      </c>
      <c r="B628" s="4">
        <v>2023</v>
      </c>
      <c r="C628" s="4" t="s">
        <v>212</v>
      </c>
      <c r="D628" s="4" t="s">
        <v>442</v>
      </c>
      <c r="E628" s="4">
        <v>417607993.31</v>
      </c>
      <c r="F628" s="4" t="s">
        <v>417</v>
      </c>
      <c r="G628" s="4">
        <v>1</v>
      </c>
      <c r="H628" s="4" t="s">
        <v>498</v>
      </c>
      <c r="I628" s="4" t="s">
        <v>425</v>
      </c>
      <c r="J628" s="4" t="s">
        <v>135</v>
      </c>
      <c r="K628" s="4" t="s">
        <v>444</v>
      </c>
      <c r="L628" s="16" t="s">
        <v>561</v>
      </c>
    </row>
    <row r="629" spans="1:12" ht="15.75">
      <c r="A629" s="4" t="s">
        <v>118</v>
      </c>
      <c r="B629" s="4">
        <v>2023</v>
      </c>
      <c r="C629" s="4" t="s">
        <v>212</v>
      </c>
      <c r="D629" s="4" t="s">
        <v>374</v>
      </c>
      <c r="E629" s="4">
        <v>5.0503330000000002</v>
      </c>
      <c r="F629" s="4" t="s">
        <v>375</v>
      </c>
      <c r="G629" s="4">
        <v>1</v>
      </c>
      <c r="H629" s="4" t="s">
        <v>516</v>
      </c>
      <c r="I629" s="4" t="s">
        <v>377</v>
      </c>
      <c r="J629" s="4" t="s">
        <v>378</v>
      </c>
      <c r="K629" s="4" t="s">
        <v>379</v>
      </c>
      <c r="L629" s="16" t="s">
        <v>380</v>
      </c>
    </row>
    <row r="630" spans="1:12" ht="15.75">
      <c r="A630" s="4" t="s">
        <v>118</v>
      </c>
      <c r="B630" s="4">
        <v>2023</v>
      </c>
      <c r="C630" s="4" t="s">
        <v>212</v>
      </c>
      <c r="D630" s="4" t="s">
        <v>381</v>
      </c>
      <c r="E630" s="4">
        <v>5.5389869999999997</v>
      </c>
      <c r="F630" s="4" t="s">
        <v>375</v>
      </c>
      <c r="G630" s="4">
        <v>1</v>
      </c>
      <c r="H630" s="4" t="s">
        <v>516</v>
      </c>
      <c r="I630" s="4" t="s">
        <v>377</v>
      </c>
      <c r="J630" s="4" t="s">
        <v>378</v>
      </c>
      <c r="K630" s="4" t="s">
        <v>379</v>
      </c>
      <c r="L630" s="16" t="s">
        <v>382</v>
      </c>
    </row>
    <row r="631" spans="1:12" ht="15.75">
      <c r="A631" s="4" t="s">
        <v>118</v>
      </c>
      <c r="B631" s="4">
        <v>2023</v>
      </c>
      <c r="C631" s="4" t="s">
        <v>212</v>
      </c>
      <c r="D631" s="4" t="s">
        <v>383</v>
      </c>
      <c r="E631" s="4">
        <v>0.96820799999999996</v>
      </c>
      <c r="F631" s="4" t="s">
        <v>384</v>
      </c>
      <c r="G631" s="4">
        <v>1</v>
      </c>
      <c r="H631" s="4" t="s">
        <v>517</v>
      </c>
      <c r="I631" s="4" t="s">
        <v>377</v>
      </c>
      <c r="J631" s="4" t="s">
        <v>378</v>
      </c>
      <c r="K631" s="4" t="s">
        <v>379</v>
      </c>
      <c r="L631" s="16" t="s">
        <v>380</v>
      </c>
    </row>
    <row r="632" spans="1:12" ht="15.75">
      <c r="A632" s="4" t="s">
        <v>118</v>
      </c>
      <c r="B632" s="4">
        <v>2023</v>
      </c>
      <c r="C632" s="4" t="s">
        <v>212</v>
      </c>
      <c r="D632" s="4" t="s">
        <v>386</v>
      </c>
      <c r="E632" s="4">
        <v>0.99599300000000002</v>
      </c>
      <c r="F632" s="4" t="s">
        <v>384</v>
      </c>
      <c r="G632" s="4">
        <v>1</v>
      </c>
      <c r="H632" s="4" t="s">
        <v>517</v>
      </c>
      <c r="I632" s="4" t="s">
        <v>377</v>
      </c>
      <c r="J632" s="4" t="s">
        <v>378</v>
      </c>
      <c r="K632" s="4" t="s">
        <v>379</v>
      </c>
      <c r="L632" s="16" t="s">
        <v>382</v>
      </c>
    </row>
    <row r="633" spans="1:12" ht="36">
      <c r="A633" s="4" t="s">
        <v>118</v>
      </c>
      <c r="B633" s="4">
        <v>2023</v>
      </c>
      <c r="C633" s="4" t="s">
        <v>212</v>
      </c>
      <c r="D633" s="4" t="s">
        <v>394</v>
      </c>
      <c r="E633" s="4">
        <v>6457542.6710000001</v>
      </c>
      <c r="F633" s="4" t="s">
        <v>395</v>
      </c>
      <c r="G633" s="4">
        <v>1000</v>
      </c>
      <c r="H633" s="4" t="s">
        <v>396</v>
      </c>
      <c r="I633" s="4" t="s">
        <v>397</v>
      </c>
      <c r="J633" s="4" t="s">
        <v>135</v>
      </c>
      <c r="K633" s="4" t="s">
        <v>398</v>
      </c>
      <c r="L633" s="16" t="s">
        <v>399</v>
      </c>
    </row>
    <row r="634" spans="1:12" ht="36">
      <c r="A634" s="4" t="s">
        <v>118</v>
      </c>
      <c r="B634" s="4">
        <v>2023</v>
      </c>
      <c r="C634" s="4" t="s">
        <v>212</v>
      </c>
      <c r="D634" s="4" t="s">
        <v>400</v>
      </c>
      <c r="E634" s="4">
        <v>22569.35</v>
      </c>
      <c r="F634" s="4" t="s">
        <v>401</v>
      </c>
      <c r="G634" s="4">
        <v>1</v>
      </c>
      <c r="H634" s="4" t="s">
        <v>402</v>
      </c>
      <c r="I634" s="4" t="s">
        <v>403</v>
      </c>
      <c r="J634" s="4" t="s">
        <v>135</v>
      </c>
      <c r="K634" s="4" t="s">
        <v>404</v>
      </c>
      <c r="L634" s="16" t="s">
        <v>399</v>
      </c>
    </row>
    <row r="635" spans="1:12" ht="15.75">
      <c r="A635" s="4" t="s">
        <v>118</v>
      </c>
      <c r="B635" s="4">
        <v>2023</v>
      </c>
      <c r="C635" s="4" t="s">
        <v>212</v>
      </c>
      <c r="D635" s="4" t="s">
        <v>445</v>
      </c>
      <c r="E635" s="4"/>
      <c r="F635" s="4" t="s">
        <v>446</v>
      </c>
      <c r="G635" s="4">
        <v>1</v>
      </c>
      <c r="H635" s="4" t="s">
        <v>518</v>
      </c>
      <c r="I635" s="4" t="s">
        <v>448</v>
      </c>
      <c r="J635" s="4" t="s">
        <v>519</v>
      </c>
      <c r="K635" s="4" t="s">
        <v>520</v>
      </c>
      <c r="L635" s="16" t="s">
        <v>540</v>
      </c>
    </row>
    <row r="636" spans="1:12" ht="15.75">
      <c r="A636" s="4" t="s">
        <v>118</v>
      </c>
      <c r="B636" s="4">
        <v>2023</v>
      </c>
      <c r="C636" s="4" t="s">
        <v>212</v>
      </c>
      <c r="D636" s="4" t="s">
        <v>452</v>
      </c>
      <c r="E636" s="4">
        <v>803166082.95000005</v>
      </c>
      <c r="F636" s="4" t="s">
        <v>417</v>
      </c>
      <c r="G636" s="4">
        <v>1</v>
      </c>
      <c r="H636" s="4" t="s">
        <v>453</v>
      </c>
      <c r="I636" s="4" t="s">
        <v>454</v>
      </c>
      <c r="J636" s="4" t="s">
        <v>135</v>
      </c>
      <c r="K636" s="4" t="s">
        <v>455</v>
      </c>
      <c r="L636" s="16" t="s">
        <v>561</v>
      </c>
    </row>
    <row r="637" spans="1:12" ht="36">
      <c r="A637" s="4" t="s">
        <v>118</v>
      </c>
      <c r="B637" s="4">
        <v>2023</v>
      </c>
      <c r="C637" s="4" t="s">
        <v>212</v>
      </c>
      <c r="D637" s="4" t="s">
        <v>456</v>
      </c>
      <c r="E637" s="4">
        <v>776441755.01999998</v>
      </c>
      <c r="F637" s="4" t="s">
        <v>417</v>
      </c>
      <c r="G637" s="4">
        <v>1</v>
      </c>
      <c r="H637" s="4" t="s">
        <v>499</v>
      </c>
      <c r="I637" s="4" t="s">
        <v>478</v>
      </c>
      <c r="J637" s="4" t="s">
        <v>135</v>
      </c>
      <c r="K637" s="4" t="s">
        <v>459</v>
      </c>
      <c r="L637" s="16" t="s">
        <v>561</v>
      </c>
    </row>
    <row r="638" spans="1:12" ht="24">
      <c r="A638" s="4" t="s">
        <v>118</v>
      </c>
      <c r="B638" s="4">
        <v>2023</v>
      </c>
      <c r="C638" s="4" t="s">
        <v>212</v>
      </c>
      <c r="D638" s="4" t="s">
        <v>460</v>
      </c>
      <c r="E638" s="4">
        <v>1005175941.84</v>
      </c>
      <c r="F638" s="4" t="s">
        <v>417</v>
      </c>
      <c r="G638" s="4">
        <v>1</v>
      </c>
      <c r="H638" s="4" t="s">
        <v>493</v>
      </c>
      <c r="I638" s="4" t="s">
        <v>430</v>
      </c>
      <c r="J638" s="4" t="s">
        <v>135</v>
      </c>
      <c r="K638" s="4" t="s">
        <v>462</v>
      </c>
      <c r="L638" s="16" t="s">
        <v>560</v>
      </c>
    </row>
    <row r="639" spans="1:12" ht="36">
      <c r="A639" s="4" t="s">
        <v>118</v>
      </c>
      <c r="B639" s="4">
        <v>2023</v>
      </c>
      <c r="C639" s="4" t="s">
        <v>212</v>
      </c>
      <c r="D639" s="4" t="s">
        <v>463</v>
      </c>
      <c r="E639" s="4">
        <v>392983436.54000002</v>
      </c>
      <c r="F639" s="4" t="s">
        <v>417</v>
      </c>
      <c r="G639" s="4">
        <v>1</v>
      </c>
      <c r="H639" s="4" t="s">
        <v>484</v>
      </c>
      <c r="I639" s="4" t="s">
        <v>485</v>
      </c>
      <c r="J639" s="4" t="s">
        <v>135</v>
      </c>
      <c r="K639" s="4" t="s">
        <v>466</v>
      </c>
      <c r="L639" s="16" t="s">
        <v>560</v>
      </c>
    </row>
    <row r="640" spans="1:12" ht="36">
      <c r="A640" s="4" t="s">
        <v>118</v>
      </c>
      <c r="B640" s="4">
        <v>2023</v>
      </c>
      <c r="C640" s="4" t="s">
        <v>212</v>
      </c>
      <c r="D640" s="4" t="s">
        <v>467</v>
      </c>
      <c r="E640" s="4">
        <v>114300487.65000001</v>
      </c>
      <c r="F640" s="4" t="s">
        <v>417</v>
      </c>
      <c r="G640" s="4">
        <v>1</v>
      </c>
      <c r="H640" s="4" t="s">
        <v>486</v>
      </c>
      <c r="I640" s="4" t="s">
        <v>487</v>
      </c>
      <c r="J640" s="4" t="s">
        <v>135</v>
      </c>
      <c r="K640" s="4" t="s">
        <v>466</v>
      </c>
      <c r="L640" s="16" t="s">
        <v>560</v>
      </c>
    </row>
    <row r="641" spans="1:12" ht="24">
      <c r="A641" s="4" t="s">
        <v>118</v>
      </c>
      <c r="B641" s="4">
        <v>2024</v>
      </c>
      <c r="C641" s="4" t="s">
        <v>215</v>
      </c>
      <c r="D641" s="4" t="s">
        <v>416</v>
      </c>
      <c r="E641" s="4">
        <v>175307572.30000001</v>
      </c>
      <c r="F641" s="4" t="s">
        <v>417</v>
      </c>
      <c r="G641" s="4">
        <v>1</v>
      </c>
      <c r="H641" s="4" t="s">
        <v>479</v>
      </c>
      <c r="I641" s="4" t="s">
        <v>480</v>
      </c>
      <c r="J641" s="4" t="s">
        <v>135</v>
      </c>
      <c r="K641" s="4" t="s">
        <v>420</v>
      </c>
      <c r="L641" s="16" t="s">
        <v>563</v>
      </c>
    </row>
    <row r="642" spans="1:12" ht="24">
      <c r="A642" s="4" t="s">
        <v>118</v>
      </c>
      <c r="B642" s="4">
        <v>2024</v>
      </c>
      <c r="C642" s="4" t="s">
        <v>215</v>
      </c>
      <c r="D642" s="4" t="s">
        <v>422</v>
      </c>
      <c r="E642" s="4">
        <v>48.8</v>
      </c>
      <c r="F642" s="4" t="s">
        <v>423</v>
      </c>
      <c r="G642" s="4">
        <v>1</v>
      </c>
      <c r="H642" s="4" t="s">
        <v>522</v>
      </c>
      <c r="I642" s="4" t="s">
        <v>425</v>
      </c>
      <c r="J642" s="4" t="s">
        <v>135</v>
      </c>
      <c r="K642" s="4" t="s">
        <v>426</v>
      </c>
      <c r="L642" s="16" t="s">
        <v>564</v>
      </c>
    </row>
    <row r="643" spans="1:12" ht="24">
      <c r="A643" s="4" t="s">
        <v>118</v>
      </c>
      <c r="B643" s="4">
        <v>2024</v>
      </c>
      <c r="C643" s="4" t="s">
        <v>215</v>
      </c>
      <c r="D643" s="4" t="s">
        <v>428</v>
      </c>
      <c r="E643" s="4">
        <v>58989516.75</v>
      </c>
      <c r="F643" s="4" t="s">
        <v>417</v>
      </c>
      <c r="G643" s="4">
        <v>1</v>
      </c>
      <c r="H643" s="4" t="s">
        <v>429</v>
      </c>
      <c r="I643" s="4" t="s">
        <v>430</v>
      </c>
      <c r="J643" s="4" t="s">
        <v>431</v>
      </c>
      <c r="K643" s="4" t="s">
        <v>432</v>
      </c>
      <c r="L643" s="16" t="s">
        <v>563</v>
      </c>
    </row>
    <row r="644" spans="1:12" ht="15.75">
      <c r="A644" s="4" t="s">
        <v>118</v>
      </c>
      <c r="B644" s="4">
        <v>2024</v>
      </c>
      <c r="C644" s="4" t="s">
        <v>215</v>
      </c>
      <c r="D644" s="4" t="s">
        <v>433</v>
      </c>
      <c r="E644" s="4">
        <v>1096929938.48</v>
      </c>
      <c r="F644" s="4" t="s">
        <v>417</v>
      </c>
      <c r="G644" s="4">
        <v>1</v>
      </c>
      <c r="H644" s="4" t="s">
        <v>434</v>
      </c>
      <c r="I644" s="4" t="s">
        <v>435</v>
      </c>
      <c r="J644" s="4" t="s">
        <v>135</v>
      </c>
      <c r="K644" s="4" t="s">
        <v>436</v>
      </c>
      <c r="L644" s="16" t="s">
        <v>565</v>
      </c>
    </row>
    <row r="645" spans="1:12" ht="15.75">
      <c r="A645" s="4" t="s">
        <v>118</v>
      </c>
      <c r="B645" s="4">
        <v>2024</v>
      </c>
      <c r="C645" s="4" t="s">
        <v>215</v>
      </c>
      <c r="D645" s="4" t="s">
        <v>438</v>
      </c>
      <c r="E645" s="4">
        <v>1082828377.1400001</v>
      </c>
      <c r="F645" s="4" t="s">
        <v>417</v>
      </c>
      <c r="G645" s="4">
        <v>1</v>
      </c>
      <c r="H645" s="4" t="s">
        <v>439</v>
      </c>
      <c r="I645" s="4" t="s">
        <v>435</v>
      </c>
      <c r="J645" s="4" t="s">
        <v>135</v>
      </c>
      <c r="K645" s="4" t="s">
        <v>436</v>
      </c>
      <c r="L645" s="16" t="s">
        <v>565</v>
      </c>
    </row>
    <row r="646" spans="1:12" ht="15.75">
      <c r="A646" s="4" t="s">
        <v>118</v>
      </c>
      <c r="B646" s="4">
        <v>2024</v>
      </c>
      <c r="C646" s="4" t="s">
        <v>215</v>
      </c>
      <c r="D646" s="4" t="s">
        <v>440</v>
      </c>
      <c r="E646" s="4">
        <v>1045849367.6799999</v>
      </c>
      <c r="F646" s="4" t="s">
        <v>417</v>
      </c>
      <c r="G646" s="4">
        <v>1</v>
      </c>
      <c r="H646" s="4" t="s">
        <v>441</v>
      </c>
      <c r="I646" s="4" t="s">
        <v>435</v>
      </c>
      <c r="J646" s="4" t="s">
        <v>135</v>
      </c>
      <c r="K646" s="4" t="s">
        <v>436</v>
      </c>
      <c r="L646" s="16" t="s">
        <v>565</v>
      </c>
    </row>
    <row r="647" spans="1:12" ht="24">
      <c r="A647" s="4" t="s">
        <v>118</v>
      </c>
      <c r="B647" s="4">
        <v>2024</v>
      </c>
      <c r="C647" s="4" t="s">
        <v>215</v>
      </c>
      <c r="D647" s="4" t="s">
        <v>442</v>
      </c>
      <c r="E647" s="4">
        <v>453869228.02999997</v>
      </c>
      <c r="F647" s="4" t="s">
        <v>417</v>
      </c>
      <c r="G647" s="4">
        <v>1</v>
      </c>
      <c r="H647" s="4" t="s">
        <v>525</v>
      </c>
      <c r="I647" s="4" t="s">
        <v>425</v>
      </c>
      <c r="J647" s="4" t="s">
        <v>135</v>
      </c>
      <c r="K647" s="4" t="s">
        <v>444</v>
      </c>
      <c r="L647" s="16" t="s">
        <v>564</v>
      </c>
    </row>
    <row r="648" spans="1:12" ht="15.75">
      <c r="A648" s="4" t="s">
        <v>118</v>
      </c>
      <c r="B648" s="4">
        <v>2024</v>
      </c>
      <c r="C648" s="4" t="s">
        <v>215</v>
      </c>
      <c r="D648" s="4" t="s">
        <v>445</v>
      </c>
      <c r="E648" s="4">
        <v>303004</v>
      </c>
      <c r="F648" s="4" t="s">
        <v>446</v>
      </c>
      <c r="G648" s="4">
        <v>1</v>
      </c>
      <c r="H648" s="4" t="s">
        <v>447</v>
      </c>
      <c r="I648" s="4" t="s">
        <v>448</v>
      </c>
      <c r="J648" s="4" t="s">
        <v>449</v>
      </c>
      <c r="K648" s="4" t="s">
        <v>450</v>
      </c>
      <c r="L648" s="16" t="s">
        <v>540</v>
      </c>
    </row>
    <row r="649" spans="1:12" ht="15.75">
      <c r="A649" s="4" t="s">
        <v>118</v>
      </c>
      <c r="B649" s="4">
        <v>2024</v>
      </c>
      <c r="C649" s="4" t="s">
        <v>215</v>
      </c>
      <c r="D649" s="4" t="s">
        <v>452</v>
      </c>
      <c r="E649" s="4">
        <v>960072874.15999997</v>
      </c>
      <c r="F649" s="4" t="s">
        <v>417</v>
      </c>
      <c r="G649" s="4">
        <v>1</v>
      </c>
      <c r="H649" s="4" t="s">
        <v>453</v>
      </c>
      <c r="I649" s="4" t="s">
        <v>454</v>
      </c>
      <c r="J649" s="4" t="s">
        <v>135</v>
      </c>
      <c r="K649" s="4" t="s">
        <v>455</v>
      </c>
      <c r="L649" s="16" t="s">
        <v>564</v>
      </c>
    </row>
    <row r="650" spans="1:12" ht="36">
      <c r="A650" s="4" t="s">
        <v>118</v>
      </c>
      <c r="B650" s="4">
        <v>2024</v>
      </c>
      <c r="C650" s="4" t="s">
        <v>215</v>
      </c>
      <c r="D650" s="4" t="s">
        <v>456</v>
      </c>
      <c r="E650" s="4">
        <v>930025252.84000003</v>
      </c>
      <c r="F650" s="4" t="s">
        <v>417</v>
      </c>
      <c r="G650" s="4">
        <v>1</v>
      </c>
      <c r="H650" s="4" t="s">
        <v>526</v>
      </c>
      <c r="I650" s="4" t="s">
        <v>478</v>
      </c>
      <c r="J650" s="4" t="s">
        <v>135</v>
      </c>
      <c r="K650" s="4" t="s">
        <v>459</v>
      </c>
      <c r="L650" s="16" t="s">
        <v>564</v>
      </c>
    </row>
    <row r="651" spans="1:12" ht="24">
      <c r="A651" s="4" t="s">
        <v>118</v>
      </c>
      <c r="B651" s="4">
        <v>2024</v>
      </c>
      <c r="C651" s="4" t="s">
        <v>215</v>
      </c>
      <c r="D651" s="4" t="s">
        <v>460</v>
      </c>
      <c r="E651" s="4">
        <v>1180637948.7</v>
      </c>
      <c r="F651" s="4" t="s">
        <v>417</v>
      </c>
      <c r="G651" s="4">
        <v>1</v>
      </c>
      <c r="H651" s="4" t="s">
        <v>493</v>
      </c>
      <c r="I651" s="4" t="s">
        <v>430</v>
      </c>
      <c r="J651" s="4" t="s">
        <v>135</v>
      </c>
      <c r="K651" s="4" t="s">
        <v>462</v>
      </c>
      <c r="L651" s="16" t="s">
        <v>563</v>
      </c>
    </row>
    <row r="652" spans="1:12" ht="36">
      <c r="A652" s="4" t="s">
        <v>118</v>
      </c>
      <c r="B652" s="4">
        <v>2024</v>
      </c>
      <c r="C652" s="4" t="s">
        <v>215</v>
      </c>
      <c r="D652" s="4" t="s">
        <v>463</v>
      </c>
      <c r="E652" s="4">
        <v>478705037.93000001</v>
      </c>
      <c r="F652" s="4" t="s">
        <v>417</v>
      </c>
      <c r="G652" s="4">
        <v>1</v>
      </c>
      <c r="H652" s="4" t="s">
        <v>484</v>
      </c>
      <c r="I652" s="4" t="s">
        <v>485</v>
      </c>
      <c r="J652" s="4" t="s">
        <v>135</v>
      </c>
      <c r="K652" s="4" t="s">
        <v>466</v>
      </c>
      <c r="L652" s="16" t="s">
        <v>563</v>
      </c>
    </row>
    <row r="653" spans="1:12" ht="36">
      <c r="A653" s="4" t="s">
        <v>118</v>
      </c>
      <c r="B653" s="4">
        <v>2024</v>
      </c>
      <c r="C653" s="4" t="s">
        <v>215</v>
      </c>
      <c r="D653" s="4" t="s">
        <v>467</v>
      </c>
      <c r="E653" s="4">
        <v>124654849.45</v>
      </c>
      <c r="F653" s="4" t="s">
        <v>417</v>
      </c>
      <c r="G653" s="4">
        <v>1</v>
      </c>
      <c r="H653" s="4" t="s">
        <v>486</v>
      </c>
      <c r="I653" s="4" t="s">
        <v>487</v>
      </c>
      <c r="J653" s="4" t="s">
        <v>135</v>
      </c>
      <c r="K653" s="4" t="s">
        <v>466</v>
      </c>
      <c r="L653" s="16" t="s">
        <v>563</v>
      </c>
    </row>
    <row r="654" spans="1:12" ht="24">
      <c r="A654" s="4" t="s">
        <v>118</v>
      </c>
      <c r="B654" s="4">
        <v>2025</v>
      </c>
      <c r="C654" s="4" t="s">
        <v>218</v>
      </c>
      <c r="D654" s="4" t="s">
        <v>416</v>
      </c>
      <c r="E654" s="4">
        <v>213172043.22</v>
      </c>
      <c r="F654" s="4" t="s">
        <v>417</v>
      </c>
      <c r="G654" s="4">
        <v>1</v>
      </c>
      <c r="H654" s="4" t="s">
        <v>479</v>
      </c>
      <c r="I654" s="4" t="s">
        <v>480</v>
      </c>
      <c r="J654" s="4" t="s">
        <v>135</v>
      </c>
      <c r="K654" s="4" t="s">
        <v>420</v>
      </c>
      <c r="L654" s="16" t="s">
        <v>566</v>
      </c>
    </row>
    <row r="655" spans="1:12" ht="24">
      <c r="A655" s="4" t="s">
        <v>118</v>
      </c>
      <c r="B655" s="4">
        <v>2025</v>
      </c>
      <c r="C655" s="4" t="s">
        <v>218</v>
      </c>
      <c r="D655" s="4" t="s">
        <v>422</v>
      </c>
      <c r="E655" s="4">
        <v>48.18</v>
      </c>
      <c r="F655" s="4" t="s">
        <v>423</v>
      </c>
      <c r="G655" s="4">
        <v>1</v>
      </c>
      <c r="H655" s="4" t="s">
        <v>522</v>
      </c>
      <c r="I655" s="4" t="s">
        <v>425</v>
      </c>
      <c r="J655" s="4" t="s">
        <v>135</v>
      </c>
      <c r="K655" s="4" t="s">
        <v>426</v>
      </c>
      <c r="L655" s="16" t="s">
        <v>567</v>
      </c>
    </row>
    <row r="656" spans="1:12" ht="24">
      <c r="A656" s="4" t="s">
        <v>118</v>
      </c>
      <c r="B656" s="4">
        <v>2025</v>
      </c>
      <c r="C656" s="4" t="s">
        <v>218</v>
      </c>
      <c r="D656" s="4" t="s">
        <v>428</v>
      </c>
      <c r="E656" s="4">
        <v>63558041.5</v>
      </c>
      <c r="F656" s="4" t="s">
        <v>417</v>
      </c>
      <c r="G656" s="4">
        <v>1</v>
      </c>
      <c r="H656" s="4" t="s">
        <v>429</v>
      </c>
      <c r="I656" s="4" t="s">
        <v>430</v>
      </c>
      <c r="J656" s="4" t="s">
        <v>431</v>
      </c>
      <c r="K656" s="4" t="s">
        <v>432</v>
      </c>
      <c r="L656" s="16" t="s">
        <v>566</v>
      </c>
    </row>
    <row r="657" spans="1:12" ht="15.75">
      <c r="A657" s="4" t="s">
        <v>118</v>
      </c>
      <c r="B657" s="4">
        <v>2025</v>
      </c>
      <c r="C657" s="4" t="s">
        <v>218</v>
      </c>
      <c r="D657" s="4" t="s">
        <v>433</v>
      </c>
      <c r="E657" s="4">
        <v>1169395792.1600001</v>
      </c>
      <c r="F657" s="4" t="s">
        <v>417</v>
      </c>
      <c r="G657" s="4">
        <v>1</v>
      </c>
      <c r="H657" s="4" t="s">
        <v>434</v>
      </c>
      <c r="I657" s="4" t="s">
        <v>435</v>
      </c>
      <c r="J657" s="4" t="s">
        <v>135</v>
      </c>
      <c r="K657" s="4" t="s">
        <v>436</v>
      </c>
      <c r="L657" s="16" t="s">
        <v>568</v>
      </c>
    </row>
    <row r="658" spans="1:12" ht="15.75">
      <c r="A658" s="4" t="s">
        <v>118</v>
      </c>
      <c r="B658" s="4">
        <v>2025</v>
      </c>
      <c r="C658" s="4" t="s">
        <v>218</v>
      </c>
      <c r="D658" s="4" t="s">
        <v>438</v>
      </c>
      <c r="E658" s="4">
        <v>1146755820.26</v>
      </c>
      <c r="F658" s="4" t="s">
        <v>417</v>
      </c>
      <c r="G658" s="4">
        <v>1</v>
      </c>
      <c r="H658" s="4" t="s">
        <v>439</v>
      </c>
      <c r="I658" s="4" t="s">
        <v>435</v>
      </c>
      <c r="J658" s="4" t="s">
        <v>135</v>
      </c>
      <c r="K658" s="4" t="s">
        <v>436</v>
      </c>
      <c r="L658" s="16" t="s">
        <v>568</v>
      </c>
    </row>
    <row r="659" spans="1:12" ht="15.75">
      <c r="A659" s="4" t="s">
        <v>118</v>
      </c>
      <c r="B659" s="4">
        <v>2025</v>
      </c>
      <c r="C659" s="4" t="s">
        <v>218</v>
      </c>
      <c r="D659" s="4" t="s">
        <v>440</v>
      </c>
      <c r="E659" s="4">
        <v>1110340373.3</v>
      </c>
      <c r="F659" s="4" t="s">
        <v>417</v>
      </c>
      <c r="G659" s="4">
        <v>1</v>
      </c>
      <c r="H659" s="4" t="s">
        <v>441</v>
      </c>
      <c r="I659" s="4" t="s">
        <v>435</v>
      </c>
      <c r="J659" s="4" t="s">
        <v>135</v>
      </c>
      <c r="K659" s="4" t="s">
        <v>436</v>
      </c>
      <c r="L659" s="16" t="s">
        <v>568</v>
      </c>
    </row>
    <row r="660" spans="1:12" ht="24">
      <c r="A660" s="4" t="s">
        <v>118</v>
      </c>
      <c r="B660" s="4">
        <v>2025</v>
      </c>
      <c r="C660" s="4" t="s">
        <v>218</v>
      </c>
      <c r="D660" s="4" t="s">
        <v>442</v>
      </c>
      <c r="E660" s="4">
        <v>492042770.63999999</v>
      </c>
      <c r="F660" s="4" t="s">
        <v>417</v>
      </c>
      <c r="G660" s="4">
        <v>1</v>
      </c>
      <c r="H660" s="4" t="s">
        <v>525</v>
      </c>
      <c r="I660" s="4" t="s">
        <v>425</v>
      </c>
      <c r="J660" s="4" t="s">
        <v>135</v>
      </c>
      <c r="K660" s="4" t="s">
        <v>444</v>
      </c>
      <c r="L660" s="16" t="s">
        <v>567</v>
      </c>
    </row>
    <row r="661" spans="1:12" ht="15.75">
      <c r="A661" s="4" t="s">
        <v>118</v>
      </c>
      <c r="B661" s="4">
        <v>2025</v>
      </c>
      <c r="C661" s="4" t="s">
        <v>218</v>
      </c>
      <c r="D661" s="4" t="s">
        <v>374</v>
      </c>
      <c r="E661" s="4">
        <v>5.0735000000000001</v>
      </c>
      <c r="F661" s="4" t="s">
        <v>375</v>
      </c>
      <c r="G661" s="4">
        <v>1</v>
      </c>
      <c r="H661" s="4" t="s">
        <v>530</v>
      </c>
      <c r="I661" s="4" t="s">
        <v>377</v>
      </c>
      <c r="J661" s="4" t="s">
        <v>378</v>
      </c>
      <c r="K661" s="4" t="s">
        <v>379</v>
      </c>
      <c r="L661" s="16" t="s">
        <v>380</v>
      </c>
    </row>
    <row r="662" spans="1:12" ht="15.75">
      <c r="A662" s="4" t="s">
        <v>118</v>
      </c>
      <c r="B662" s="4">
        <v>2025</v>
      </c>
      <c r="C662" s="4" t="s">
        <v>218</v>
      </c>
      <c r="D662" s="4" t="s">
        <v>381</v>
      </c>
      <c r="E662" s="4">
        <v>5.6226149999999997</v>
      </c>
      <c r="F662" s="4" t="s">
        <v>375</v>
      </c>
      <c r="G662" s="4">
        <v>1</v>
      </c>
      <c r="H662" s="4" t="s">
        <v>530</v>
      </c>
      <c r="I662" s="4" t="s">
        <v>377</v>
      </c>
      <c r="J662" s="4" t="s">
        <v>378</v>
      </c>
      <c r="K662" s="4" t="s">
        <v>379</v>
      </c>
      <c r="L662" s="16" t="s">
        <v>382</v>
      </c>
    </row>
    <row r="663" spans="1:12" ht="15.75">
      <c r="A663" s="4" t="s">
        <v>118</v>
      </c>
      <c r="B663" s="4">
        <v>2025</v>
      </c>
      <c r="C663" s="4" t="s">
        <v>218</v>
      </c>
      <c r="D663" s="4" t="s">
        <v>383</v>
      </c>
      <c r="E663" s="4">
        <v>0.97520799999999996</v>
      </c>
      <c r="F663" s="4" t="s">
        <v>384</v>
      </c>
      <c r="G663" s="4">
        <v>1</v>
      </c>
      <c r="H663" s="4" t="s">
        <v>531</v>
      </c>
      <c r="I663" s="4" t="s">
        <v>377</v>
      </c>
      <c r="J663" s="4" t="s">
        <v>378</v>
      </c>
      <c r="K663" s="4" t="s">
        <v>379</v>
      </c>
      <c r="L663" s="16" t="s">
        <v>380</v>
      </c>
    </row>
    <row r="664" spans="1:12" ht="15.75">
      <c r="A664" s="4" t="s">
        <v>118</v>
      </c>
      <c r="B664" s="4">
        <v>2025</v>
      </c>
      <c r="C664" s="4" t="s">
        <v>218</v>
      </c>
      <c r="D664" s="4" t="s">
        <v>386</v>
      </c>
      <c r="E664" s="4">
        <v>0.99679399999999996</v>
      </c>
      <c r="F664" s="4" t="s">
        <v>384</v>
      </c>
      <c r="G664" s="4">
        <v>1</v>
      </c>
      <c r="H664" s="4" t="s">
        <v>531</v>
      </c>
      <c r="I664" s="4" t="s">
        <v>377</v>
      </c>
      <c r="J664" s="4" t="s">
        <v>378</v>
      </c>
      <c r="K664" s="4" t="s">
        <v>379</v>
      </c>
      <c r="L664" s="16" t="s">
        <v>382</v>
      </c>
    </row>
    <row r="665" spans="1:12" ht="15.75">
      <c r="A665" s="4" t="s">
        <v>118</v>
      </c>
      <c r="B665" s="4">
        <v>2025</v>
      </c>
      <c r="C665" s="4" t="s">
        <v>218</v>
      </c>
      <c r="D665" s="4" t="s">
        <v>445</v>
      </c>
      <c r="E665" s="4">
        <v>305531</v>
      </c>
      <c r="F665" s="4" t="s">
        <v>446</v>
      </c>
      <c r="G665" s="4">
        <v>1</v>
      </c>
      <c r="H665" s="4" t="s">
        <v>447</v>
      </c>
      <c r="I665" s="4" t="s">
        <v>448</v>
      </c>
      <c r="J665" s="4" t="s">
        <v>449</v>
      </c>
      <c r="K665" s="4" t="s">
        <v>450</v>
      </c>
      <c r="L665" s="16" t="s">
        <v>540</v>
      </c>
    </row>
    <row r="666" spans="1:12" ht="15.75">
      <c r="A666" s="4" t="s">
        <v>118</v>
      </c>
      <c r="B666" s="4">
        <v>2025</v>
      </c>
      <c r="C666" s="4" t="s">
        <v>218</v>
      </c>
      <c r="D666" s="4" t="s">
        <v>452</v>
      </c>
      <c r="E666" s="4">
        <v>1048459378.9400001</v>
      </c>
      <c r="F666" s="4" t="s">
        <v>417</v>
      </c>
      <c r="G666" s="4">
        <v>1</v>
      </c>
      <c r="H666" s="4" t="s">
        <v>453</v>
      </c>
      <c r="I666" s="4" t="s">
        <v>454</v>
      </c>
      <c r="J666" s="4" t="s">
        <v>135</v>
      </c>
      <c r="K666" s="4" t="s">
        <v>455</v>
      </c>
      <c r="L666" s="16" t="s">
        <v>567</v>
      </c>
    </row>
    <row r="667" spans="1:12" ht="36">
      <c r="A667" s="4" t="s">
        <v>118</v>
      </c>
      <c r="B667" s="4">
        <v>2025</v>
      </c>
      <c r="C667" s="4" t="s">
        <v>218</v>
      </c>
      <c r="D667" s="4" t="s">
        <v>456</v>
      </c>
      <c r="E667" s="4">
        <v>1021221494.9400001</v>
      </c>
      <c r="F667" s="4" t="s">
        <v>417</v>
      </c>
      <c r="G667" s="4">
        <v>1</v>
      </c>
      <c r="H667" s="4" t="s">
        <v>526</v>
      </c>
      <c r="I667" s="4" t="s">
        <v>478</v>
      </c>
      <c r="J667" s="4" t="s">
        <v>135</v>
      </c>
      <c r="K667" s="4" t="s">
        <v>459</v>
      </c>
      <c r="L667" s="16" t="s">
        <v>567</v>
      </c>
    </row>
    <row r="668" spans="1:12" ht="24">
      <c r="A668" s="4" t="s">
        <v>118</v>
      </c>
      <c r="B668" s="4">
        <v>2025</v>
      </c>
      <c r="C668" s="4" t="s">
        <v>218</v>
      </c>
      <c r="D668" s="4" t="s">
        <v>460</v>
      </c>
      <c r="E668" s="4">
        <v>1311416056.78</v>
      </c>
      <c r="F668" s="4" t="s">
        <v>417</v>
      </c>
      <c r="G668" s="4">
        <v>1</v>
      </c>
      <c r="H668" s="4" t="s">
        <v>493</v>
      </c>
      <c r="I668" s="4" t="s">
        <v>430</v>
      </c>
      <c r="J668" s="4" t="s">
        <v>135</v>
      </c>
      <c r="K668" s="4" t="s">
        <v>462</v>
      </c>
      <c r="L668" s="16" t="s">
        <v>566</v>
      </c>
    </row>
    <row r="669" spans="1:12" ht="36">
      <c r="A669" s="4" t="s">
        <v>118</v>
      </c>
      <c r="B669" s="4">
        <v>2025</v>
      </c>
      <c r="C669" s="4" t="s">
        <v>218</v>
      </c>
      <c r="D669" s="4" t="s">
        <v>463</v>
      </c>
      <c r="E669" s="4">
        <v>530160493.88999999</v>
      </c>
      <c r="F669" s="4" t="s">
        <v>417</v>
      </c>
      <c r="G669" s="4">
        <v>1</v>
      </c>
      <c r="H669" s="4" t="s">
        <v>484</v>
      </c>
      <c r="I669" s="4" t="s">
        <v>485</v>
      </c>
      <c r="J669" s="4" t="s">
        <v>135</v>
      </c>
      <c r="K669" s="4" t="s">
        <v>466</v>
      </c>
      <c r="L669" s="16" t="s">
        <v>566</v>
      </c>
    </row>
    <row r="670" spans="1:12" ht="36">
      <c r="A670" s="4" t="s">
        <v>118</v>
      </c>
      <c r="B670" s="4">
        <v>2025</v>
      </c>
      <c r="C670" s="4" t="s">
        <v>218</v>
      </c>
      <c r="D670" s="4" t="s">
        <v>467</v>
      </c>
      <c r="E670" s="4">
        <v>134075846.31</v>
      </c>
      <c r="F670" s="4" t="s">
        <v>417</v>
      </c>
      <c r="G670" s="4">
        <v>1</v>
      </c>
      <c r="H670" s="4" t="s">
        <v>486</v>
      </c>
      <c r="I670" s="4" t="s">
        <v>487</v>
      </c>
      <c r="J670" s="4" t="s">
        <v>135</v>
      </c>
      <c r="K670" s="4" t="s">
        <v>466</v>
      </c>
      <c r="L670" s="16" t="s">
        <v>566</v>
      </c>
    </row>
    <row r="671" spans="1:12" ht="24">
      <c r="A671" s="4" t="s">
        <v>118</v>
      </c>
      <c r="B671" s="4">
        <v>2026</v>
      </c>
      <c r="C671" s="4" t="s">
        <v>532</v>
      </c>
      <c r="D671" s="4" t="s">
        <v>445</v>
      </c>
      <c r="E671" s="4">
        <v>307928</v>
      </c>
      <c r="F671" s="4" t="s">
        <v>446</v>
      </c>
      <c r="G671" s="4">
        <v>1</v>
      </c>
      <c r="H671" s="4" t="s">
        <v>533</v>
      </c>
      <c r="I671" s="4" t="s">
        <v>534</v>
      </c>
      <c r="J671" s="4" t="s">
        <v>535</v>
      </c>
      <c r="K671" s="4" t="s">
        <v>536</v>
      </c>
      <c r="L671" s="16" t="s">
        <v>559</v>
      </c>
    </row>
  </sheetData>
  <autoFilter ref="A1:L671"/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2" r:id="rId51"/>
    <hyperlink ref="L53" r:id="rId52"/>
    <hyperlink ref="L54" r:id="rId53"/>
    <hyperlink ref="L55" r:id="rId54"/>
    <hyperlink ref="L56" r:id="rId55"/>
    <hyperlink ref="L57" r:id="rId56"/>
    <hyperlink ref="L58" r:id="rId57"/>
    <hyperlink ref="L59" r:id="rId58"/>
    <hyperlink ref="L60" r:id="rId59"/>
    <hyperlink ref="L61" r:id="rId60"/>
    <hyperlink ref="L62" r:id="rId61"/>
    <hyperlink ref="L63" r:id="rId62"/>
    <hyperlink ref="L64" r:id="rId63"/>
    <hyperlink ref="L65" r:id="rId64"/>
    <hyperlink ref="L66" r:id="rId65"/>
    <hyperlink ref="L67" r:id="rId66"/>
    <hyperlink ref="L68" r:id="rId67"/>
    <hyperlink ref="L69" r:id="rId68"/>
    <hyperlink ref="L70" r:id="rId69"/>
    <hyperlink ref="L71" r:id="rId70"/>
    <hyperlink ref="L72" r:id="rId71"/>
    <hyperlink ref="L73" r:id="rId72"/>
    <hyperlink ref="L74" r:id="rId73"/>
    <hyperlink ref="L75" r:id="rId74"/>
    <hyperlink ref="L76" r:id="rId75"/>
    <hyperlink ref="L77" r:id="rId76"/>
    <hyperlink ref="L78" r:id="rId77"/>
    <hyperlink ref="L79" r:id="rId78"/>
    <hyperlink ref="L80" r:id="rId79"/>
    <hyperlink ref="L81" r:id="rId80"/>
    <hyperlink ref="L82" r:id="rId81"/>
    <hyperlink ref="L83" r:id="rId82"/>
    <hyperlink ref="L84" r:id="rId83"/>
    <hyperlink ref="L85" r:id="rId84"/>
    <hyperlink ref="L86" r:id="rId85"/>
    <hyperlink ref="L87" r:id="rId86"/>
    <hyperlink ref="L88" r:id="rId87"/>
    <hyperlink ref="L89" r:id="rId88"/>
    <hyperlink ref="L90" r:id="rId89"/>
    <hyperlink ref="L91" r:id="rId90"/>
    <hyperlink ref="L92" r:id="rId91"/>
    <hyperlink ref="L93" r:id="rId92"/>
    <hyperlink ref="L94" r:id="rId93"/>
    <hyperlink ref="L95" r:id="rId94"/>
    <hyperlink ref="L96" r:id="rId95"/>
    <hyperlink ref="L97" r:id="rId96"/>
    <hyperlink ref="L98" r:id="rId97"/>
    <hyperlink ref="L99" r:id="rId98"/>
    <hyperlink ref="L100" r:id="rId99"/>
    <hyperlink ref="L101" r:id="rId100"/>
    <hyperlink ref="L102" r:id="rId101"/>
    <hyperlink ref="L103" r:id="rId102"/>
    <hyperlink ref="L104" r:id="rId103"/>
    <hyperlink ref="L105" r:id="rId104"/>
    <hyperlink ref="L106" r:id="rId105"/>
    <hyperlink ref="L107" r:id="rId106"/>
    <hyperlink ref="L108" r:id="rId107"/>
    <hyperlink ref="L109" r:id="rId108"/>
    <hyperlink ref="L110" r:id="rId109"/>
    <hyperlink ref="L111" r:id="rId110"/>
    <hyperlink ref="L112" r:id="rId111"/>
    <hyperlink ref="L113" r:id="rId112"/>
    <hyperlink ref="L114" r:id="rId113"/>
    <hyperlink ref="L115" r:id="rId114"/>
    <hyperlink ref="L116" r:id="rId115"/>
    <hyperlink ref="L117" r:id="rId116"/>
    <hyperlink ref="L118" r:id="rId117"/>
    <hyperlink ref="L119" r:id="rId118"/>
    <hyperlink ref="L120" r:id="rId119"/>
    <hyperlink ref="L121" r:id="rId120"/>
    <hyperlink ref="L122" r:id="rId121"/>
    <hyperlink ref="L123" r:id="rId122"/>
    <hyperlink ref="L124" r:id="rId123"/>
    <hyperlink ref="L125" r:id="rId124"/>
    <hyperlink ref="L126" r:id="rId125"/>
    <hyperlink ref="L127" r:id="rId126"/>
    <hyperlink ref="L128" r:id="rId127"/>
    <hyperlink ref="L129" r:id="rId128"/>
    <hyperlink ref="L130" r:id="rId129"/>
    <hyperlink ref="L131" r:id="rId130"/>
    <hyperlink ref="L132" r:id="rId131"/>
    <hyperlink ref="L133" r:id="rId132"/>
    <hyperlink ref="L134" r:id="rId133"/>
    <hyperlink ref="L135" r:id="rId134"/>
    <hyperlink ref="L136" r:id="rId135"/>
    <hyperlink ref="L137" r:id="rId136"/>
    <hyperlink ref="L138" r:id="rId137"/>
    <hyperlink ref="L139" r:id="rId138"/>
    <hyperlink ref="L140" r:id="rId139"/>
    <hyperlink ref="L141" r:id="rId140"/>
    <hyperlink ref="L142" r:id="rId141"/>
    <hyperlink ref="L143" r:id="rId142"/>
    <hyperlink ref="L144" r:id="rId143"/>
    <hyperlink ref="L145" r:id="rId144"/>
    <hyperlink ref="L146" r:id="rId145"/>
    <hyperlink ref="L147" r:id="rId146"/>
    <hyperlink ref="L148" r:id="rId147"/>
    <hyperlink ref="L149" r:id="rId148"/>
    <hyperlink ref="L150" r:id="rId149"/>
    <hyperlink ref="L151" r:id="rId150"/>
    <hyperlink ref="L152" r:id="rId151"/>
    <hyperlink ref="L153" r:id="rId152"/>
    <hyperlink ref="L154" r:id="rId153"/>
    <hyperlink ref="L155" r:id="rId154"/>
    <hyperlink ref="L156" r:id="rId155"/>
    <hyperlink ref="L157" r:id="rId156"/>
    <hyperlink ref="L158" r:id="rId157"/>
    <hyperlink ref="L159" r:id="rId158"/>
    <hyperlink ref="L160" r:id="rId159"/>
    <hyperlink ref="L161" r:id="rId160"/>
    <hyperlink ref="L162" r:id="rId161"/>
    <hyperlink ref="L163" r:id="rId162"/>
    <hyperlink ref="L164" r:id="rId163"/>
    <hyperlink ref="L165" r:id="rId164"/>
    <hyperlink ref="L166" r:id="rId165"/>
    <hyperlink ref="L167" r:id="rId166"/>
    <hyperlink ref="L168" r:id="rId167"/>
    <hyperlink ref="L169" r:id="rId168"/>
    <hyperlink ref="L170" r:id="rId169"/>
    <hyperlink ref="L171" r:id="rId170"/>
    <hyperlink ref="L172" r:id="rId171"/>
    <hyperlink ref="L173" r:id="rId172"/>
    <hyperlink ref="L174" r:id="rId173"/>
    <hyperlink ref="L175" r:id="rId174"/>
    <hyperlink ref="L176" r:id="rId175"/>
    <hyperlink ref="L177" r:id="rId176"/>
    <hyperlink ref="L178" r:id="rId177"/>
    <hyperlink ref="L179" r:id="rId178"/>
    <hyperlink ref="L180" r:id="rId179"/>
    <hyperlink ref="L181" r:id="rId180"/>
    <hyperlink ref="L182" r:id="rId181"/>
    <hyperlink ref="L183" r:id="rId182"/>
    <hyperlink ref="L184" r:id="rId183"/>
    <hyperlink ref="L185" r:id="rId184"/>
    <hyperlink ref="L186" r:id="rId185"/>
    <hyperlink ref="L187" r:id="rId186"/>
    <hyperlink ref="L188" r:id="rId187"/>
    <hyperlink ref="L189" r:id="rId188"/>
    <hyperlink ref="L190" r:id="rId189"/>
    <hyperlink ref="L191" r:id="rId190"/>
    <hyperlink ref="L192" r:id="rId191"/>
    <hyperlink ref="L193" r:id="rId192"/>
    <hyperlink ref="L194" r:id="rId193"/>
    <hyperlink ref="L195" r:id="rId194"/>
    <hyperlink ref="L196" r:id="rId195"/>
    <hyperlink ref="L197" r:id="rId196"/>
    <hyperlink ref="L198" r:id="rId197"/>
    <hyperlink ref="L199" r:id="rId198"/>
    <hyperlink ref="L200" r:id="rId199"/>
    <hyperlink ref="L201" r:id="rId200"/>
    <hyperlink ref="L202" r:id="rId201"/>
    <hyperlink ref="L203" r:id="rId202"/>
    <hyperlink ref="L204" r:id="rId203"/>
    <hyperlink ref="L205" r:id="rId204"/>
    <hyperlink ref="L206" r:id="rId205"/>
    <hyperlink ref="L207" r:id="rId206"/>
    <hyperlink ref="L208" r:id="rId207"/>
    <hyperlink ref="L209" r:id="rId208"/>
    <hyperlink ref="L210" r:id="rId209"/>
    <hyperlink ref="L211" r:id="rId210"/>
    <hyperlink ref="L212" r:id="rId211"/>
    <hyperlink ref="L213" r:id="rId212"/>
    <hyperlink ref="L214" r:id="rId213"/>
    <hyperlink ref="L215" r:id="rId214"/>
    <hyperlink ref="L216" r:id="rId215"/>
    <hyperlink ref="L217" r:id="rId216"/>
    <hyperlink ref="L218" r:id="rId217"/>
    <hyperlink ref="L219" r:id="rId218"/>
    <hyperlink ref="L220" r:id="rId219"/>
    <hyperlink ref="L221" r:id="rId220"/>
    <hyperlink ref="L222" r:id="rId221"/>
    <hyperlink ref="L223" r:id="rId222"/>
    <hyperlink ref="L224" r:id="rId223"/>
    <hyperlink ref="L225" r:id="rId224"/>
    <hyperlink ref="L226" r:id="rId225"/>
    <hyperlink ref="L227" r:id="rId226"/>
    <hyperlink ref="L228" r:id="rId227"/>
    <hyperlink ref="L229" r:id="rId228"/>
    <hyperlink ref="L230" r:id="rId229"/>
    <hyperlink ref="L231" r:id="rId230"/>
    <hyperlink ref="L232" r:id="rId231"/>
    <hyperlink ref="L233" r:id="rId232"/>
    <hyperlink ref="L234" r:id="rId233"/>
    <hyperlink ref="L235" r:id="rId234"/>
    <hyperlink ref="L236" r:id="rId235"/>
    <hyperlink ref="L237" r:id="rId236"/>
    <hyperlink ref="L238" r:id="rId237"/>
    <hyperlink ref="L239" r:id="rId238"/>
    <hyperlink ref="L240" r:id="rId239"/>
    <hyperlink ref="L241" r:id="rId240"/>
    <hyperlink ref="L242" r:id="rId241"/>
    <hyperlink ref="L243" r:id="rId242"/>
    <hyperlink ref="L244" r:id="rId243"/>
    <hyperlink ref="L245" r:id="rId244"/>
    <hyperlink ref="L246" r:id="rId245"/>
    <hyperlink ref="L247" r:id="rId246"/>
    <hyperlink ref="L248" r:id="rId247"/>
    <hyperlink ref="L249" r:id="rId248"/>
    <hyperlink ref="L250" r:id="rId249"/>
    <hyperlink ref="L251" r:id="rId250"/>
    <hyperlink ref="L252" r:id="rId251"/>
    <hyperlink ref="L253" r:id="rId252"/>
    <hyperlink ref="L254" r:id="rId253"/>
    <hyperlink ref="L255" r:id="rId254"/>
    <hyperlink ref="L256" r:id="rId255"/>
    <hyperlink ref="L257" r:id="rId256"/>
    <hyperlink ref="L258" r:id="rId257"/>
    <hyperlink ref="L259" r:id="rId258"/>
    <hyperlink ref="L260" r:id="rId259"/>
    <hyperlink ref="L261" r:id="rId260"/>
    <hyperlink ref="L262" r:id="rId261"/>
    <hyperlink ref="L263" r:id="rId262"/>
    <hyperlink ref="L264" r:id="rId263"/>
    <hyperlink ref="L265" r:id="rId264"/>
    <hyperlink ref="L266" r:id="rId265"/>
    <hyperlink ref="L267" r:id="rId266"/>
    <hyperlink ref="L268" r:id="rId267"/>
    <hyperlink ref="L269" r:id="rId268"/>
    <hyperlink ref="L270" r:id="rId269"/>
    <hyperlink ref="L271" r:id="rId270"/>
    <hyperlink ref="L272" r:id="rId271"/>
    <hyperlink ref="L273" r:id="rId272"/>
    <hyperlink ref="L274" r:id="rId273"/>
    <hyperlink ref="L275" r:id="rId274"/>
    <hyperlink ref="L276" r:id="rId275"/>
    <hyperlink ref="L277" r:id="rId276"/>
    <hyperlink ref="L278" r:id="rId277"/>
    <hyperlink ref="L279" r:id="rId278"/>
    <hyperlink ref="L280" r:id="rId279"/>
    <hyperlink ref="L281" r:id="rId280"/>
    <hyperlink ref="L282" r:id="rId281"/>
    <hyperlink ref="L283" r:id="rId282"/>
    <hyperlink ref="L284" r:id="rId283"/>
    <hyperlink ref="L285" r:id="rId284"/>
    <hyperlink ref="L286" r:id="rId285"/>
    <hyperlink ref="L287" r:id="rId286"/>
    <hyperlink ref="L288" r:id="rId287"/>
    <hyperlink ref="L289" r:id="rId288"/>
    <hyperlink ref="L290" r:id="rId289"/>
    <hyperlink ref="L291" r:id="rId290"/>
    <hyperlink ref="L292" r:id="rId291"/>
    <hyperlink ref="L293" r:id="rId292"/>
    <hyperlink ref="L294" r:id="rId293"/>
    <hyperlink ref="L295" r:id="rId294"/>
    <hyperlink ref="L296" r:id="rId295"/>
    <hyperlink ref="L297" r:id="rId296"/>
    <hyperlink ref="L298" r:id="rId297"/>
    <hyperlink ref="L299" r:id="rId298"/>
    <hyperlink ref="L300" r:id="rId299"/>
    <hyperlink ref="L301" r:id="rId300"/>
    <hyperlink ref="L302" r:id="rId301"/>
    <hyperlink ref="L303" r:id="rId302"/>
    <hyperlink ref="L304" r:id="rId303"/>
    <hyperlink ref="L305" r:id="rId304"/>
    <hyperlink ref="L306" r:id="rId305"/>
    <hyperlink ref="L307" r:id="rId306"/>
    <hyperlink ref="L308" r:id="rId307"/>
    <hyperlink ref="L309" r:id="rId308"/>
    <hyperlink ref="L310" r:id="rId309"/>
    <hyperlink ref="L311" r:id="rId310"/>
    <hyperlink ref="L312" r:id="rId311"/>
    <hyperlink ref="L313" r:id="rId312"/>
    <hyperlink ref="L314" r:id="rId313"/>
    <hyperlink ref="L315" r:id="rId314"/>
    <hyperlink ref="L316" r:id="rId315"/>
    <hyperlink ref="L317" r:id="rId316"/>
    <hyperlink ref="L318" r:id="rId317"/>
    <hyperlink ref="L319" r:id="rId318"/>
    <hyperlink ref="L320" r:id="rId319"/>
    <hyperlink ref="L321" r:id="rId320"/>
    <hyperlink ref="L322" r:id="rId321"/>
    <hyperlink ref="L323" r:id="rId322"/>
    <hyperlink ref="L324" r:id="rId323"/>
    <hyperlink ref="L325" r:id="rId324"/>
    <hyperlink ref="L326" r:id="rId325"/>
    <hyperlink ref="L327" r:id="rId326"/>
    <hyperlink ref="L328" r:id="rId327"/>
    <hyperlink ref="L329" r:id="rId328"/>
    <hyperlink ref="L330" r:id="rId329"/>
    <hyperlink ref="L331" r:id="rId330"/>
    <hyperlink ref="L332" r:id="rId331"/>
    <hyperlink ref="L333" r:id="rId332"/>
    <hyperlink ref="L334" r:id="rId333"/>
    <hyperlink ref="L335" r:id="rId334"/>
    <hyperlink ref="L336" r:id="rId335"/>
    <hyperlink ref="L337" r:id="rId336"/>
    <hyperlink ref="L338" r:id="rId337"/>
    <hyperlink ref="L339" r:id="rId338"/>
    <hyperlink ref="L340" r:id="rId339"/>
    <hyperlink ref="L341" r:id="rId340"/>
    <hyperlink ref="L342" r:id="rId341"/>
    <hyperlink ref="L343" r:id="rId342"/>
    <hyperlink ref="L344" r:id="rId343"/>
    <hyperlink ref="L345" r:id="rId344"/>
    <hyperlink ref="L346" r:id="rId345"/>
    <hyperlink ref="L347" r:id="rId346"/>
    <hyperlink ref="L348" r:id="rId347"/>
    <hyperlink ref="L349" r:id="rId348"/>
    <hyperlink ref="L350" r:id="rId349"/>
    <hyperlink ref="L351" r:id="rId350"/>
    <hyperlink ref="L352" r:id="rId351"/>
    <hyperlink ref="L353" r:id="rId352"/>
    <hyperlink ref="L354" r:id="rId353"/>
    <hyperlink ref="L355" r:id="rId354"/>
    <hyperlink ref="L356" r:id="rId355"/>
    <hyperlink ref="L357" r:id="rId356"/>
    <hyperlink ref="L358" r:id="rId357"/>
    <hyperlink ref="L359" r:id="rId358"/>
    <hyperlink ref="L360" r:id="rId359"/>
    <hyperlink ref="L361" r:id="rId360"/>
    <hyperlink ref="L362" r:id="rId361"/>
    <hyperlink ref="L363" r:id="rId362"/>
    <hyperlink ref="L364" r:id="rId363"/>
    <hyperlink ref="L365" r:id="rId364"/>
    <hyperlink ref="L366" r:id="rId365"/>
    <hyperlink ref="L367" r:id="rId366"/>
    <hyperlink ref="L368" r:id="rId367"/>
    <hyperlink ref="L369" r:id="rId368"/>
    <hyperlink ref="L370" r:id="rId369"/>
    <hyperlink ref="L371" r:id="rId370"/>
    <hyperlink ref="L372" r:id="rId371"/>
    <hyperlink ref="L373" r:id="rId372"/>
    <hyperlink ref="L374" r:id="rId373"/>
    <hyperlink ref="L375" r:id="rId374"/>
    <hyperlink ref="L376" r:id="rId375"/>
    <hyperlink ref="L377" r:id="rId376"/>
    <hyperlink ref="L378" r:id="rId377"/>
    <hyperlink ref="L379" r:id="rId378"/>
    <hyperlink ref="L380" r:id="rId379"/>
    <hyperlink ref="L381" r:id="rId380"/>
    <hyperlink ref="L382" r:id="rId381"/>
    <hyperlink ref="L383" r:id="rId382"/>
    <hyperlink ref="L384" r:id="rId383"/>
    <hyperlink ref="L385" r:id="rId384"/>
    <hyperlink ref="L386" r:id="rId385"/>
    <hyperlink ref="L387" r:id="rId386"/>
    <hyperlink ref="L388" r:id="rId387"/>
    <hyperlink ref="L389" r:id="rId388"/>
    <hyperlink ref="L390" r:id="rId389"/>
    <hyperlink ref="L391" r:id="rId390"/>
    <hyperlink ref="L392" r:id="rId391"/>
    <hyperlink ref="L393" r:id="rId392"/>
    <hyperlink ref="L394" r:id="rId393"/>
    <hyperlink ref="L395" r:id="rId394"/>
    <hyperlink ref="L396" r:id="rId395"/>
    <hyperlink ref="L397" r:id="rId396"/>
    <hyperlink ref="L398" r:id="rId397"/>
    <hyperlink ref="L399" r:id="rId398"/>
    <hyperlink ref="L400" r:id="rId399"/>
    <hyperlink ref="L401" r:id="rId400"/>
    <hyperlink ref="L402" r:id="rId401"/>
    <hyperlink ref="L403" r:id="rId402"/>
    <hyperlink ref="L404" r:id="rId403"/>
    <hyperlink ref="L405" r:id="rId404"/>
    <hyperlink ref="L406" r:id="rId405"/>
    <hyperlink ref="L407" r:id="rId406"/>
    <hyperlink ref="L408" r:id="rId407"/>
    <hyperlink ref="L409" r:id="rId408"/>
    <hyperlink ref="L410" r:id="rId409"/>
    <hyperlink ref="L411" r:id="rId410"/>
    <hyperlink ref="L412" r:id="rId411"/>
    <hyperlink ref="L413" r:id="rId412"/>
    <hyperlink ref="L414" r:id="rId413"/>
    <hyperlink ref="L415" r:id="rId414"/>
    <hyperlink ref="L416" r:id="rId415"/>
    <hyperlink ref="L417" r:id="rId416"/>
    <hyperlink ref="L418" r:id="rId417"/>
    <hyperlink ref="L419" r:id="rId418"/>
    <hyperlink ref="L420" r:id="rId419"/>
    <hyperlink ref="L421" r:id="rId420"/>
    <hyperlink ref="L422" r:id="rId421"/>
    <hyperlink ref="L423" r:id="rId422"/>
    <hyperlink ref="L424" r:id="rId423"/>
    <hyperlink ref="L425" r:id="rId424"/>
    <hyperlink ref="L426" r:id="rId425"/>
    <hyperlink ref="L427" r:id="rId426"/>
    <hyperlink ref="L428" r:id="rId427"/>
    <hyperlink ref="L429" r:id="rId428"/>
    <hyperlink ref="L430" r:id="rId429"/>
    <hyperlink ref="L431" r:id="rId430"/>
    <hyperlink ref="L432" r:id="rId431"/>
    <hyperlink ref="L433" r:id="rId432"/>
    <hyperlink ref="L434" r:id="rId433"/>
    <hyperlink ref="L435" r:id="rId434"/>
    <hyperlink ref="L436" r:id="rId435"/>
    <hyperlink ref="L437" r:id="rId436"/>
    <hyperlink ref="L438" r:id="rId437"/>
    <hyperlink ref="L439" r:id="rId438"/>
    <hyperlink ref="L440" r:id="rId439"/>
    <hyperlink ref="L441" r:id="rId440"/>
    <hyperlink ref="L442" r:id="rId441"/>
    <hyperlink ref="L443" r:id="rId442"/>
    <hyperlink ref="L444" r:id="rId443"/>
    <hyperlink ref="L445" r:id="rId444"/>
    <hyperlink ref="L446" r:id="rId445"/>
    <hyperlink ref="L447" r:id="rId446"/>
    <hyperlink ref="L448" r:id="rId447"/>
    <hyperlink ref="L449" r:id="rId448"/>
    <hyperlink ref="L450" r:id="rId449"/>
    <hyperlink ref="L451" r:id="rId450"/>
    <hyperlink ref="L452" r:id="rId451"/>
    <hyperlink ref="L453" r:id="rId452"/>
    <hyperlink ref="L454" r:id="rId453"/>
    <hyperlink ref="L455" r:id="rId454"/>
    <hyperlink ref="L456" r:id="rId455"/>
    <hyperlink ref="L457" r:id="rId456"/>
    <hyperlink ref="L458" r:id="rId457"/>
    <hyperlink ref="L459" r:id="rId458"/>
    <hyperlink ref="L460" r:id="rId459"/>
    <hyperlink ref="L461" r:id="rId460"/>
    <hyperlink ref="L462" r:id="rId461"/>
    <hyperlink ref="L463" r:id="rId462"/>
    <hyperlink ref="L464" r:id="rId463"/>
    <hyperlink ref="L465" r:id="rId464"/>
    <hyperlink ref="L466" r:id="rId465"/>
    <hyperlink ref="L467" r:id="rId466"/>
    <hyperlink ref="L468" r:id="rId467"/>
    <hyperlink ref="L469" r:id="rId468"/>
    <hyperlink ref="L470" r:id="rId469"/>
    <hyperlink ref="L471" r:id="rId470"/>
    <hyperlink ref="L472" r:id="rId471"/>
    <hyperlink ref="L473" r:id="rId472"/>
    <hyperlink ref="L474" r:id="rId473"/>
    <hyperlink ref="L475" r:id="rId474"/>
    <hyperlink ref="L476" r:id="rId475"/>
    <hyperlink ref="L477" r:id="rId476"/>
    <hyperlink ref="L478" r:id="rId477"/>
    <hyperlink ref="L479" r:id="rId478"/>
    <hyperlink ref="L480" r:id="rId479"/>
    <hyperlink ref="L481" r:id="rId480"/>
    <hyperlink ref="L482" r:id="rId481"/>
    <hyperlink ref="L483" r:id="rId482"/>
    <hyperlink ref="L484" r:id="rId483"/>
    <hyperlink ref="L485" r:id="rId484"/>
    <hyperlink ref="L486" r:id="rId485"/>
    <hyperlink ref="L487" r:id="rId486"/>
    <hyperlink ref="L488" r:id="rId487"/>
    <hyperlink ref="L489" r:id="rId488"/>
    <hyperlink ref="L490" r:id="rId489"/>
    <hyperlink ref="L491" r:id="rId490"/>
    <hyperlink ref="L492" r:id="rId491"/>
    <hyperlink ref="L493" r:id="rId492"/>
    <hyperlink ref="L494" r:id="rId493"/>
    <hyperlink ref="L495" r:id="rId494"/>
    <hyperlink ref="L496" r:id="rId495"/>
    <hyperlink ref="L497" r:id="rId496"/>
    <hyperlink ref="L498" r:id="rId497"/>
    <hyperlink ref="L499" r:id="rId498"/>
    <hyperlink ref="L500" r:id="rId499"/>
    <hyperlink ref="L501" r:id="rId500"/>
    <hyperlink ref="L502" r:id="rId501"/>
    <hyperlink ref="L503" r:id="rId502"/>
    <hyperlink ref="L504" r:id="rId503"/>
    <hyperlink ref="L505" r:id="rId504"/>
    <hyperlink ref="L506" r:id="rId505"/>
    <hyperlink ref="L507" r:id="rId506"/>
    <hyperlink ref="L508" r:id="rId507"/>
    <hyperlink ref="L509" r:id="rId508"/>
    <hyperlink ref="L510" r:id="rId509"/>
    <hyperlink ref="L511" r:id="rId510"/>
    <hyperlink ref="L512" r:id="rId511"/>
    <hyperlink ref="L513" r:id="rId512"/>
    <hyperlink ref="L514" r:id="rId513"/>
    <hyperlink ref="L515" r:id="rId514"/>
    <hyperlink ref="L516" r:id="rId515"/>
    <hyperlink ref="L517" r:id="rId516"/>
    <hyperlink ref="L518" r:id="rId517"/>
    <hyperlink ref="L519" r:id="rId518"/>
    <hyperlink ref="L520" r:id="rId519"/>
    <hyperlink ref="L521" r:id="rId520"/>
    <hyperlink ref="L522" r:id="rId521"/>
    <hyperlink ref="L523" r:id="rId522"/>
    <hyperlink ref="L524" r:id="rId523"/>
    <hyperlink ref="L525" r:id="rId524"/>
    <hyperlink ref="L526" r:id="rId525"/>
    <hyperlink ref="L527" r:id="rId526"/>
    <hyperlink ref="L528" r:id="rId527"/>
    <hyperlink ref="L529" r:id="rId528"/>
    <hyperlink ref="L530" r:id="rId529"/>
    <hyperlink ref="L531" r:id="rId530"/>
    <hyperlink ref="L532" r:id="rId531"/>
    <hyperlink ref="L533" r:id="rId532"/>
    <hyperlink ref="L534" r:id="rId533"/>
    <hyperlink ref="L535" r:id="rId534"/>
    <hyperlink ref="L536" r:id="rId535"/>
    <hyperlink ref="L537" r:id="rId536"/>
    <hyperlink ref="L538" r:id="rId537"/>
    <hyperlink ref="L539" r:id="rId538"/>
    <hyperlink ref="L540" r:id="rId539"/>
    <hyperlink ref="L541" r:id="rId540"/>
    <hyperlink ref="L542" r:id="rId541"/>
    <hyperlink ref="L543" r:id="rId542"/>
    <hyperlink ref="L544" r:id="rId543"/>
    <hyperlink ref="L545" r:id="rId544"/>
    <hyperlink ref="L546" r:id="rId545"/>
    <hyperlink ref="L547" r:id="rId546"/>
    <hyperlink ref="L548" r:id="rId547"/>
    <hyperlink ref="L549" r:id="rId548"/>
    <hyperlink ref="L550" r:id="rId549"/>
    <hyperlink ref="L551" r:id="rId550"/>
    <hyperlink ref="L552" r:id="rId551"/>
    <hyperlink ref="L553" r:id="rId552"/>
    <hyperlink ref="L554" r:id="rId553"/>
    <hyperlink ref="L555" r:id="rId554"/>
    <hyperlink ref="L556" r:id="rId555"/>
    <hyperlink ref="L557" r:id="rId556"/>
    <hyperlink ref="L558" r:id="rId557"/>
    <hyperlink ref="L559" r:id="rId558"/>
    <hyperlink ref="L560" r:id="rId559"/>
    <hyperlink ref="L561" r:id="rId560"/>
    <hyperlink ref="L562" r:id="rId561"/>
    <hyperlink ref="L563" r:id="rId562"/>
    <hyperlink ref="L564" r:id="rId563"/>
    <hyperlink ref="L565" r:id="rId564"/>
    <hyperlink ref="L566" r:id="rId565"/>
    <hyperlink ref="L567" r:id="rId566"/>
    <hyperlink ref="L568" r:id="rId567"/>
    <hyperlink ref="L569" r:id="rId568"/>
    <hyperlink ref="L570" r:id="rId569"/>
    <hyperlink ref="L571" r:id="rId570"/>
    <hyperlink ref="L572" r:id="rId571"/>
    <hyperlink ref="L573" r:id="rId572"/>
    <hyperlink ref="L574" r:id="rId573"/>
    <hyperlink ref="L575" r:id="rId574"/>
    <hyperlink ref="L576" r:id="rId575"/>
    <hyperlink ref="L577" r:id="rId576"/>
    <hyperlink ref="L578" r:id="rId577"/>
    <hyperlink ref="L579" r:id="rId578"/>
    <hyperlink ref="L580" r:id="rId579"/>
    <hyperlink ref="L581" r:id="rId580"/>
    <hyperlink ref="L582" r:id="rId581"/>
    <hyperlink ref="L583" r:id="rId582"/>
    <hyperlink ref="L584" r:id="rId583"/>
    <hyperlink ref="L585" r:id="rId584"/>
    <hyperlink ref="L586" r:id="rId585"/>
    <hyperlink ref="L587" r:id="rId586"/>
    <hyperlink ref="L588" r:id="rId587"/>
    <hyperlink ref="L589" r:id="rId588"/>
    <hyperlink ref="L590" r:id="rId589"/>
    <hyperlink ref="L591" r:id="rId590"/>
    <hyperlink ref="L592" r:id="rId591"/>
    <hyperlink ref="L593" r:id="rId592"/>
    <hyperlink ref="L594" r:id="rId593"/>
    <hyperlink ref="L595" r:id="rId594"/>
    <hyperlink ref="L596" r:id="rId595"/>
    <hyperlink ref="L597" r:id="rId596"/>
    <hyperlink ref="L598" r:id="rId597"/>
    <hyperlink ref="L599" r:id="rId598"/>
    <hyperlink ref="L600" r:id="rId599"/>
    <hyperlink ref="L601" r:id="rId600"/>
    <hyperlink ref="L602" r:id="rId601"/>
    <hyperlink ref="L603" r:id="rId602"/>
    <hyperlink ref="L604" r:id="rId603"/>
    <hyperlink ref="L605" r:id="rId604"/>
    <hyperlink ref="L606" r:id="rId605"/>
    <hyperlink ref="L607" r:id="rId606"/>
    <hyperlink ref="L608" r:id="rId607"/>
    <hyperlink ref="L609" r:id="rId608"/>
    <hyperlink ref="L610" r:id="rId609"/>
    <hyperlink ref="L611" r:id="rId610"/>
    <hyperlink ref="L612" r:id="rId611"/>
    <hyperlink ref="L613" r:id="rId612"/>
    <hyperlink ref="L614" r:id="rId613"/>
    <hyperlink ref="L615" r:id="rId614"/>
    <hyperlink ref="L616" r:id="rId615"/>
    <hyperlink ref="L617" r:id="rId616"/>
    <hyperlink ref="L618" r:id="rId617"/>
    <hyperlink ref="L619" r:id="rId618"/>
    <hyperlink ref="L620" r:id="rId619"/>
    <hyperlink ref="L621" r:id="rId620"/>
    <hyperlink ref="L622" r:id="rId621"/>
    <hyperlink ref="L623" r:id="rId622"/>
    <hyperlink ref="L624" r:id="rId623"/>
    <hyperlink ref="L625" r:id="rId624"/>
    <hyperlink ref="L626" r:id="rId625"/>
    <hyperlink ref="L627" r:id="rId626"/>
    <hyperlink ref="L628" r:id="rId627"/>
    <hyperlink ref="L629" r:id="rId628"/>
    <hyperlink ref="L630" r:id="rId629"/>
    <hyperlink ref="L631" r:id="rId630"/>
    <hyperlink ref="L632" r:id="rId631"/>
    <hyperlink ref="L633" r:id="rId632"/>
    <hyperlink ref="L634" r:id="rId633"/>
    <hyperlink ref="L635" r:id="rId634"/>
    <hyperlink ref="L636" r:id="rId635"/>
    <hyperlink ref="L637" r:id="rId636"/>
    <hyperlink ref="L638" r:id="rId637"/>
    <hyperlink ref="L639" r:id="rId638"/>
    <hyperlink ref="L640" r:id="rId639"/>
    <hyperlink ref="L641" r:id="rId640"/>
    <hyperlink ref="L642" r:id="rId641"/>
    <hyperlink ref="L643" r:id="rId642"/>
    <hyperlink ref="L644" r:id="rId643"/>
    <hyperlink ref="L645" r:id="rId644"/>
    <hyperlink ref="L646" r:id="rId645"/>
    <hyperlink ref="L647" r:id="rId646"/>
    <hyperlink ref="L648" r:id="rId647"/>
    <hyperlink ref="L649" r:id="rId648"/>
    <hyperlink ref="L650" r:id="rId649"/>
    <hyperlink ref="L651" r:id="rId650"/>
    <hyperlink ref="L652" r:id="rId651"/>
    <hyperlink ref="L653" r:id="rId652"/>
    <hyperlink ref="L654" r:id="rId653"/>
    <hyperlink ref="L655" r:id="rId654"/>
    <hyperlink ref="L656" r:id="rId655"/>
    <hyperlink ref="L657" r:id="rId656"/>
    <hyperlink ref="L658" r:id="rId657"/>
    <hyperlink ref="L659" r:id="rId658"/>
    <hyperlink ref="L660" r:id="rId659"/>
    <hyperlink ref="L661" r:id="rId660"/>
    <hyperlink ref="L662" r:id="rId661"/>
    <hyperlink ref="L663" r:id="rId662"/>
    <hyperlink ref="L664" r:id="rId663"/>
    <hyperlink ref="L665" r:id="rId664"/>
    <hyperlink ref="L666" r:id="rId665"/>
    <hyperlink ref="L667" r:id="rId666"/>
    <hyperlink ref="L668" r:id="rId667"/>
    <hyperlink ref="L669" r:id="rId668"/>
    <hyperlink ref="L670" r:id="rId669"/>
    <hyperlink ref="L671" r:id="rId670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2.75"/>
  <cols>
    <col min="1" max="1" width="18" customWidth="1"/>
    <col min="2" max="2" width="12" customWidth="1"/>
    <col min="3" max="3" width="42" customWidth="1"/>
    <col min="4" max="4" width="26" customWidth="1"/>
    <col min="5" max="5" width="24" customWidth="1"/>
    <col min="6" max="6" width="12" customWidth="1"/>
    <col min="7" max="7" width="74" customWidth="1"/>
  </cols>
  <sheetData>
    <row r="1" spans="1:7" ht="33.75" customHeight="1">
      <c r="A1" s="3" t="s">
        <v>569</v>
      </c>
      <c r="B1" s="3" t="s">
        <v>1</v>
      </c>
      <c r="C1" s="3" t="s">
        <v>570</v>
      </c>
      <c r="D1" s="3" t="s">
        <v>571</v>
      </c>
      <c r="E1" s="3" t="s">
        <v>572</v>
      </c>
      <c r="F1" s="3" t="s">
        <v>573</v>
      </c>
      <c r="G1" s="3" t="s">
        <v>574</v>
      </c>
    </row>
    <row r="2" spans="1:7" ht="15.75">
      <c r="A2" s="4" t="s">
        <v>222</v>
      </c>
      <c r="B2" s="4">
        <v>2014</v>
      </c>
      <c r="C2" s="4">
        <v>3953.15333333333</v>
      </c>
      <c r="D2" s="4"/>
      <c r="E2" s="4">
        <f t="shared" ref="E2:E13" si="0">IFERROR($C$13/C2,"")</f>
        <v>1.8468399910282616</v>
      </c>
      <c r="F2" s="4">
        <v>2025</v>
      </c>
      <c r="G2" s="16" t="s">
        <v>575</v>
      </c>
    </row>
    <row r="3" spans="1:7" ht="15.75">
      <c r="A3" s="4" t="s">
        <v>222</v>
      </c>
      <c r="B3" s="4">
        <v>2015</v>
      </c>
      <c r="C3" s="4">
        <v>4310.11916666667</v>
      </c>
      <c r="D3" s="4"/>
      <c r="E3" s="4">
        <f t="shared" si="0"/>
        <v>1.6938839471375786</v>
      </c>
      <c r="F3" s="4">
        <v>2025</v>
      </c>
      <c r="G3" s="16" t="s">
        <v>575</v>
      </c>
    </row>
    <row r="4" spans="1:7" ht="15.75">
      <c r="A4" s="4" t="s">
        <v>222</v>
      </c>
      <c r="B4" s="4">
        <v>2016</v>
      </c>
      <c r="C4" s="4">
        <v>4686.7866666666696</v>
      </c>
      <c r="D4" s="4"/>
      <c r="E4" s="4">
        <f t="shared" si="0"/>
        <v>1.5577499438136717</v>
      </c>
      <c r="F4" s="4">
        <v>2025</v>
      </c>
      <c r="G4" s="16" t="s">
        <v>575</v>
      </c>
    </row>
    <row r="5" spans="1:7" ht="15.75">
      <c r="A5" s="4" t="s">
        <v>222</v>
      </c>
      <c r="B5" s="4">
        <v>2017</v>
      </c>
      <c r="C5" s="4">
        <v>4848.3108333333303</v>
      </c>
      <c r="D5" s="4"/>
      <c r="E5" s="4">
        <f t="shared" si="0"/>
        <v>1.5058526397423999</v>
      </c>
      <c r="F5" s="4">
        <v>2025</v>
      </c>
      <c r="G5" s="16" t="s">
        <v>575</v>
      </c>
    </row>
    <row r="6" spans="1:7" ht="15.75">
      <c r="A6" s="4" t="s">
        <v>222</v>
      </c>
      <c r="B6" s="4">
        <v>2018</v>
      </c>
      <c r="C6" s="4">
        <v>5025.99416666667</v>
      </c>
      <c r="D6" s="4"/>
      <c r="E6" s="4">
        <f t="shared" si="0"/>
        <v>1.4526164226546885</v>
      </c>
      <c r="F6" s="4">
        <v>2025</v>
      </c>
      <c r="G6" s="16" t="s">
        <v>575</v>
      </c>
    </row>
    <row r="7" spans="1:7" ht="15.75">
      <c r="A7" s="4" t="s">
        <v>222</v>
      </c>
      <c r="B7" s="4">
        <v>2019</v>
      </c>
      <c r="C7" s="4">
        <v>5213.61333333333</v>
      </c>
      <c r="D7" s="4"/>
      <c r="E7" s="4">
        <f t="shared" si="0"/>
        <v>1.4003419893049238</v>
      </c>
      <c r="F7" s="4">
        <v>2025</v>
      </c>
      <c r="G7" s="16" t="s">
        <v>575</v>
      </c>
    </row>
    <row r="8" spans="1:7" ht="15.75">
      <c r="A8" s="4" t="s">
        <v>222</v>
      </c>
      <c r="B8" s="4">
        <v>2020</v>
      </c>
      <c r="C8" s="4">
        <v>5381.0625</v>
      </c>
      <c r="D8" s="4"/>
      <c r="E8" s="4">
        <f t="shared" si="0"/>
        <v>1.3567658183986284</v>
      </c>
      <c r="F8" s="4">
        <v>2025</v>
      </c>
      <c r="G8" s="16" t="s">
        <v>575</v>
      </c>
    </row>
    <row r="9" spans="1:7" ht="15.75">
      <c r="A9" s="4" t="s">
        <v>222</v>
      </c>
      <c r="B9" s="4">
        <v>2021</v>
      </c>
      <c r="C9" s="4">
        <v>5827.78</v>
      </c>
      <c r="D9" s="4"/>
      <c r="E9" s="4">
        <f t="shared" si="0"/>
        <v>1.2527654898892322</v>
      </c>
      <c r="F9" s="4">
        <v>2025</v>
      </c>
      <c r="G9" s="16" t="s">
        <v>575</v>
      </c>
    </row>
    <row r="10" spans="1:7" ht="15.75">
      <c r="A10" s="4" t="s">
        <v>222</v>
      </c>
      <c r="B10" s="4">
        <v>2022</v>
      </c>
      <c r="C10" s="4">
        <v>6368.6041666666697</v>
      </c>
      <c r="D10" s="4"/>
      <c r="E10" s="4">
        <f t="shared" si="0"/>
        <v>1.1463801918918652</v>
      </c>
      <c r="F10" s="4">
        <v>2025</v>
      </c>
      <c r="G10" s="16" t="s">
        <v>575</v>
      </c>
    </row>
    <row r="11" spans="1:7" ht="15.75">
      <c r="A11" s="4" t="s">
        <v>222</v>
      </c>
      <c r="B11" s="4">
        <v>2023</v>
      </c>
      <c r="C11" s="4">
        <v>6661.15</v>
      </c>
      <c r="D11" s="4"/>
      <c r="E11" s="4">
        <f t="shared" si="0"/>
        <v>1.0960332174874714</v>
      </c>
      <c r="F11" s="4">
        <v>2025</v>
      </c>
      <c r="G11" s="16" t="s">
        <v>575</v>
      </c>
    </row>
    <row r="12" spans="1:7" ht="15.75">
      <c r="A12" s="4" t="s">
        <v>222</v>
      </c>
      <c r="B12" s="4">
        <v>2024</v>
      </c>
      <c r="C12" s="4">
        <v>6952.0733333333301</v>
      </c>
      <c r="D12" s="4"/>
      <c r="E12" s="4">
        <f t="shared" si="0"/>
        <v>1.0501675279604847</v>
      </c>
      <c r="F12" s="4">
        <v>2025</v>
      </c>
      <c r="G12" s="16" t="s">
        <v>575</v>
      </c>
    </row>
    <row r="13" spans="1:7" ht="15.75">
      <c r="A13" s="4" t="s">
        <v>222</v>
      </c>
      <c r="B13" s="4">
        <v>2025</v>
      </c>
      <c r="C13" s="4">
        <v>7300.8416666666699</v>
      </c>
      <c r="D13" s="4"/>
      <c r="E13" s="4">
        <f t="shared" si="0"/>
        <v>1</v>
      </c>
      <c r="F13" s="4">
        <v>2025</v>
      </c>
      <c r="G13" s="16" t="s">
        <v>575</v>
      </c>
    </row>
    <row r="14" spans="1:7" ht="15.75">
      <c r="A14" s="4" t="s">
        <v>119</v>
      </c>
      <c r="B14" s="4">
        <v>2016</v>
      </c>
      <c r="C14" s="4">
        <v>100</v>
      </c>
      <c r="D14" s="4"/>
      <c r="E14" s="4">
        <f t="shared" ref="E14:E23" si="1">IFERROR($C$23/C14,"")</f>
        <v>99.784410834620886</v>
      </c>
      <c r="F14" s="4">
        <v>2025</v>
      </c>
      <c r="G14" s="16" t="s">
        <v>576</v>
      </c>
    </row>
    <row r="15" spans="1:7" ht="15.75">
      <c r="A15" s="4" t="s">
        <v>119</v>
      </c>
      <c r="B15" s="4">
        <v>2017</v>
      </c>
      <c r="C15" s="4">
        <f t="shared" ref="C15:C23" si="2">IF(OR(D15="",C14=""),"",C14*(1+D15/100))</f>
        <v>125.70000000000002</v>
      </c>
      <c r="D15" s="4">
        <v>25.7</v>
      </c>
      <c r="E15" s="4">
        <f t="shared" si="1"/>
        <v>79.382983957534506</v>
      </c>
      <c r="F15" s="4">
        <v>2025</v>
      </c>
      <c r="G15" s="16" t="s">
        <v>576</v>
      </c>
    </row>
    <row r="16" spans="1:7" ht="15.75">
      <c r="A16" s="4" t="s">
        <v>119</v>
      </c>
      <c r="B16" s="4">
        <v>2018</v>
      </c>
      <c r="C16" s="4">
        <f t="shared" si="2"/>
        <v>168.81510000000003</v>
      </c>
      <c r="D16" s="4">
        <v>34.299999999999997</v>
      </c>
      <c r="E16" s="4">
        <f t="shared" si="1"/>
        <v>59.108699893919955</v>
      </c>
      <c r="F16" s="4">
        <v>2025</v>
      </c>
      <c r="G16" s="16" t="s">
        <v>576</v>
      </c>
    </row>
    <row r="17" spans="1:7" ht="15.75">
      <c r="A17" s="4" t="s">
        <v>119</v>
      </c>
      <c r="B17" s="4">
        <v>2019</v>
      </c>
      <c r="C17" s="4">
        <f t="shared" si="2"/>
        <v>259.13117850000009</v>
      </c>
      <c r="D17" s="4">
        <v>53.5</v>
      </c>
      <c r="E17" s="4">
        <f t="shared" si="1"/>
        <v>38.507296347830582</v>
      </c>
      <c r="F17" s="4">
        <v>2025</v>
      </c>
      <c r="G17" s="16" t="s">
        <v>576</v>
      </c>
    </row>
    <row r="18" spans="1:7" ht="15.75">
      <c r="A18" s="4" t="s">
        <v>119</v>
      </c>
      <c r="B18" s="4">
        <v>2020</v>
      </c>
      <c r="C18" s="4">
        <f t="shared" si="2"/>
        <v>367.96627347000009</v>
      </c>
      <c r="D18" s="4">
        <v>42</v>
      </c>
      <c r="E18" s="4">
        <f t="shared" si="1"/>
        <v>27.11781432945816</v>
      </c>
      <c r="F18" s="4">
        <v>2025</v>
      </c>
      <c r="G18" s="16" t="s">
        <v>576</v>
      </c>
    </row>
    <row r="19" spans="1:7" ht="15.75">
      <c r="A19" s="4" t="s">
        <v>119</v>
      </c>
      <c r="B19" s="4">
        <v>2021</v>
      </c>
      <c r="C19" s="4">
        <f t="shared" si="2"/>
        <v>546.06194982948011</v>
      </c>
      <c r="D19" s="4">
        <v>48.4</v>
      </c>
      <c r="E19" s="4">
        <f t="shared" si="1"/>
        <v>18.273459790740002</v>
      </c>
      <c r="F19" s="4">
        <v>2025</v>
      </c>
      <c r="G19" s="16" t="s">
        <v>576</v>
      </c>
    </row>
    <row r="20" spans="1:7" ht="15.75">
      <c r="A20" s="4" t="s">
        <v>119</v>
      </c>
      <c r="B20" s="4">
        <v>2022</v>
      </c>
      <c r="C20" s="4">
        <f t="shared" si="2"/>
        <v>941.41080150602386</v>
      </c>
      <c r="D20" s="4">
        <v>72.400000000000006</v>
      </c>
      <c r="E20" s="4">
        <f t="shared" si="1"/>
        <v>10.599454634999999</v>
      </c>
      <c r="F20" s="4">
        <v>2025</v>
      </c>
      <c r="G20" s="16" t="s">
        <v>576</v>
      </c>
    </row>
    <row r="21" spans="1:7" ht="15.75">
      <c r="A21" s="4" t="s">
        <v>119</v>
      </c>
      <c r="B21" s="4">
        <v>2023</v>
      </c>
      <c r="C21" s="4">
        <f t="shared" si="2"/>
        <v>2198.1942215165654</v>
      </c>
      <c r="D21" s="4">
        <v>133.5</v>
      </c>
      <c r="E21" s="4">
        <f t="shared" si="1"/>
        <v>4.5393809999999997</v>
      </c>
      <c r="F21" s="4">
        <v>2025</v>
      </c>
      <c r="G21" s="16" t="s">
        <v>576</v>
      </c>
    </row>
    <row r="22" spans="1:7" ht="15.75">
      <c r="A22" s="4" t="s">
        <v>119</v>
      </c>
      <c r="B22" s="4">
        <v>2024</v>
      </c>
      <c r="C22" s="4">
        <f t="shared" si="2"/>
        <v>7032.0233146314922</v>
      </c>
      <c r="D22" s="4">
        <v>219.9</v>
      </c>
      <c r="E22" s="4">
        <f t="shared" si="1"/>
        <v>1.419</v>
      </c>
      <c r="F22" s="4">
        <v>2025</v>
      </c>
      <c r="G22" s="16" t="s">
        <v>576</v>
      </c>
    </row>
    <row r="23" spans="1:7" ht="15.75">
      <c r="A23" s="4" t="s">
        <v>119</v>
      </c>
      <c r="B23" s="4">
        <v>2025</v>
      </c>
      <c r="C23" s="4">
        <f t="shared" si="2"/>
        <v>9978.4410834620885</v>
      </c>
      <c r="D23" s="4">
        <v>41.9</v>
      </c>
      <c r="E23" s="4">
        <f t="shared" si="1"/>
        <v>1</v>
      </c>
      <c r="F23" s="4">
        <v>2025</v>
      </c>
      <c r="G23" s="16" t="s">
        <v>576</v>
      </c>
    </row>
  </sheetData>
  <autoFilter ref="A1:G23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2.75"/>
  <cols>
    <col min="1" max="1" width="22" customWidth="1"/>
    <col min="2" max="2" width="14" customWidth="1"/>
    <col min="3" max="3" width="48" customWidth="1"/>
    <col min="4" max="5" width="42" customWidth="1"/>
    <col min="6" max="6" width="34" customWidth="1"/>
    <col min="7" max="7" width="39" customWidth="1"/>
    <col min="8" max="9" width="42" customWidth="1"/>
    <col min="10" max="10" width="31" customWidth="1"/>
    <col min="11" max="11" width="42" customWidth="1"/>
    <col min="12" max="12" width="55" customWidth="1"/>
    <col min="13" max="13" width="48" customWidth="1"/>
    <col min="14" max="14" width="66" customWidth="1"/>
  </cols>
  <sheetData>
    <row r="1" spans="1:14" ht="33.75" customHeight="1">
      <c r="A1" s="3" t="s">
        <v>85</v>
      </c>
      <c r="B1" s="3" t="s">
        <v>1</v>
      </c>
      <c r="C1" s="3" t="s">
        <v>121</v>
      </c>
      <c r="D1" s="3" t="s">
        <v>577</v>
      </c>
      <c r="E1" s="3" t="s">
        <v>578</v>
      </c>
      <c r="F1" s="3" t="s">
        <v>579</v>
      </c>
      <c r="G1" s="3" t="s">
        <v>580</v>
      </c>
      <c r="H1" s="3" t="s">
        <v>581</v>
      </c>
      <c r="I1" s="3" t="s">
        <v>582</v>
      </c>
      <c r="J1" s="3" t="s">
        <v>583</v>
      </c>
      <c r="K1" s="3" t="s">
        <v>584</v>
      </c>
      <c r="L1" s="3" t="s">
        <v>585</v>
      </c>
      <c r="M1" s="3" t="s">
        <v>129</v>
      </c>
      <c r="N1" s="3" t="s">
        <v>586</v>
      </c>
    </row>
    <row r="2" spans="1:14" ht="24">
      <c r="A2" s="4" t="s">
        <v>119</v>
      </c>
      <c r="B2" s="13">
        <v>2016</v>
      </c>
      <c r="C2" s="4" t="s">
        <v>131</v>
      </c>
      <c r="D2" s="15">
        <f>IF('Dados brutos atualizados'!E2="","",'Dados brutos atualizados'!E2)</f>
        <v>2273047441.34272</v>
      </c>
      <c r="E2" s="15">
        <f>IF(D2="","",D2*'Dados brutos atualizados'!G2)</f>
        <v>2273047441342.7202</v>
      </c>
      <c r="F2" s="17">
        <f>IF(E2="","",Deflatores!E14)</f>
        <v>99.784410834620886</v>
      </c>
      <c r="G2" s="15">
        <f>IF(OR(E2="",F2=""),"",E2*F2)</f>
        <v>226814699733525.81</v>
      </c>
      <c r="H2" s="15">
        <f>IF('Dados tratados'!E10="","",'Dados tratados'!E10)</f>
        <v>43590000</v>
      </c>
      <c r="I2" s="15">
        <f>IF(OR(G2="",H2="",H2=0),"",G2/H2)</f>
        <v>5203365.4446782703</v>
      </c>
      <c r="J2" s="14"/>
      <c r="K2" s="14" t="s">
        <v>132</v>
      </c>
      <c r="L2" s="14" t="s">
        <v>135</v>
      </c>
      <c r="M2" s="18" t="s">
        <v>137</v>
      </c>
      <c r="N2" s="14" t="s">
        <v>136</v>
      </c>
    </row>
    <row r="3" spans="1:14" ht="24">
      <c r="A3" s="4" t="s">
        <v>119</v>
      </c>
      <c r="B3" s="13">
        <v>2016</v>
      </c>
      <c r="C3" s="4" t="s">
        <v>138</v>
      </c>
      <c r="D3" s="15" t="str">
        <f>IF('Dados brutos atualizados'!E3="","",'Dados brutos atualizados'!E3)</f>
        <v/>
      </c>
      <c r="E3" s="15" t="str">
        <f>IF(D3="","",D3*'Dados brutos atualizados'!G3)</f>
        <v/>
      </c>
      <c r="F3" s="4"/>
      <c r="G3" s="14"/>
      <c r="H3" s="14"/>
      <c r="I3" s="14"/>
      <c r="J3" s="15" t="str">
        <f>IF(D3="","",D3)</f>
        <v/>
      </c>
      <c r="K3" s="14" t="s">
        <v>139</v>
      </c>
      <c r="L3" s="14" t="s">
        <v>142</v>
      </c>
      <c r="M3" s="18" t="s">
        <v>144</v>
      </c>
      <c r="N3" s="14" t="s">
        <v>143</v>
      </c>
    </row>
    <row r="4" spans="1:14" ht="24">
      <c r="A4" s="4" t="s">
        <v>119</v>
      </c>
      <c r="B4" s="13">
        <v>2016</v>
      </c>
      <c r="C4" s="4" t="s">
        <v>145</v>
      </c>
      <c r="D4" s="15">
        <f>IF('Dados brutos atualizados'!E4="","",'Dados brutos atualizados'!E4)</f>
        <v>556.774</v>
      </c>
      <c r="E4" s="15">
        <f>IF(D4="","",D4*'Dados brutos atualizados'!G4)</f>
        <v>556.774</v>
      </c>
      <c r="F4" s="4"/>
      <c r="G4" s="14"/>
      <c r="H4" s="14"/>
      <c r="I4" s="14"/>
      <c r="J4" s="15">
        <f>IF(D4="","",D4)</f>
        <v>556.774</v>
      </c>
      <c r="K4" s="14" t="s">
        <v>146</v>
      </c>
      <c r="L4" s="14" t="s">
        <v>148</v>
      </c>
      <c r="M4" s="18" t="s">
        <v>150</v>
      </c>
      <c r="N4" s="14" t="s">
        <v>149</v>
      </c>
    </row>
    <row r="5" spans="1:14" ht="24">
      <c r="A5" s="4" t="s">
        <v>119</v>
      </c>
      <c r="B5" s="13">
        <v>2016</v>
      </c>
      <c r="C5" s="4" t="s">
        <v>151</v>
      </c>
      <c r="D5" s="15">
        <f>IF('Dados brutos atualizados'!E5="","",'Dados brutos atualizados'!E5)</f>
        <v>-2.1</v>
      </c>
      <c r="E5" s="15">
        <f>IF(D5="","",D5*'Dados brutos atualizados'!G5)</f>
        <v>-2.1</v>
      </c>
      <c r="F5" s="4"/>
      <c r="G5" s="14"/>
      <c r="H5" s="14"/>
      <c r="I5" s="14"/>
      <c r="J5" s="15">
        <f>IF(D5="","",D5)</f>
        <v>-2.1</v>
      </c>
      <c r="K5" s="14" t="s">
        <v>139</v>
      </c>
      <c r="L5" s="14" t="s">
        <v>148</v>
      </c>
      <c r="M5" s="18" t="s">
        <v>154</v>
      </c>
      <c r="N5" s="14" t="s">
        <v>153</v>
      </c>
    </row>
    <row r="6" spans="1:14" ht="24">
      <c r="A6" s="4" t="s">
        <v>119</v>
      </c>
      <c r="B6" s="13">
        <v>2016</v>
      </c>
      <c r="C6" s="4" t="s">
        <v>155</v>
      </c>
      <c r="D6" s="15">
        <f>IF('Dados brutos atualizados'!E6="","",'Dados brutos atualizados'!E6)</f>
        <v>41.522020677074998</v>
      </c>
      <c r="E6" s="15">
        <f>IF(D6="","",D6*'Dados brutos atualizados'!G6)</f>
        <v>41.522020677074998</v>
      </c>
      <c r="F6" s="4"/>
      <c r="G6" s="14"/>
      <c r="H6" s="14"/>
      <c r="I6" s="14"/>
      <c r="J6" s="15">
        <f>IF(D6="","",D6)</f>
        <v>41.522020677074998</v>
      </c>
      <c r="K6" s="14" t="s">
        <v>156</v>
      </c>
      <c r="L6" s="14" t="s">
        <v>159</v>
      </c>
      <c r="M6" s="18" t="s">
        <v>161</v>
      </c>
      <c r="N6" s="14" t="s">
        <v>160</v>
      </c>
    </row>
    <row r="7" spans="1:14" ht="24">
      <c r="A7" s="4" t="s">
        <v>119</v>
      </c>
      <c r="B7" s="13">
        <v>2016</v>
      </c>
      <c r="C7" s="4" t="s">
        <v>162</v>
      </c>
      <c r="D7" s="15">
        <f>IF('Dados brutos atualizados'!E7="","",'Dados brutos atualizados'!E7)</f>
        <v>53.1</v>
      </c>
      <c r="E7" s="15">
        <f>IF(D7="","",D7*'Dados brutos atualizados'!G7)</f>
        <v>53.1</v>
      </c>
      <c r="F7" s="4"/>
      <c r="G7" s="14"/>
      <c r="H7" s="14"/>
      <c r="I7" s="14"/>
      <c r="J7" s="15">
        <f>IF(D7="","",D7)</f>
        <v>53.1</v>
      </c>
      <c r="K7" s="14" t="s">
        <v>163</v>
      </c>
      <c r="L7" s="14" t="s">
        <v>148</v>
      </c>
      <c r="M7" s="18" t="s">
        <v>166</v>
      </c>
      <c r="N7" s="14" t="s">
        <v>165</v>
      </c>
    </row>
    <row r="8" spans="1:14" ht="24">
      <c r="A8" s="4" t="s">
        <v>119</v>
      </c>
      <c r="B8" s="13">
        <v>2016</v>
      </c>
      <c r="C8" s="4" t="s">
        <v>167</v>
      </c>
      <c r="D8" s="15" t="str">
        <f>IF('Dados brutos atualizados'!E8="","",'Dados brutos atualizados'!E8)</f>
        <v/>
      </c>
      <c r="E8" s="15" t="str">
        <f>IF(D8="","",D8*'Dados brutos atualizados'!G8)</f>
        <v/>
      </c>
      <c r="F8" s="17" t="str">
        <f>IF(E8="","",Deflatores!E14)</f>
        <v/>
      </c>
      <c r="G8" s="15" t="str">
        <f>IF(OR(E8="",F8=""),"",E8*F8)</f>
        <v/>
      </c>
      <c r="H8" s="15">
        <f>IF('Dados tratados'!E10="","",'Dados tratados'!E10)</f>
        <v>43590000</v>
      </c>
      <c r="I8" s="15" t="str">
        <f>IF(OR(G8="",H8="",H8=0),"",G8/H8)</f>
        <v/>
      </c>
      <c r="J8" s="14"/>
      <c r="K8" s="14" t="s">
        <v>168</v>
      </c>
      <c r="L8" s="14" t="s">
        <v>171</v>
      </c>
      <c r="M8" s="18" t="s">
        <v>173</v>
      </c>
      <c r="N8" s="14" t="s">
        <v>172</v>
      </c>
    </row>
    <row r="9" spans="1:14" ht="24">
      <c r="A9" s="4" t="s">
        <v>119</v>
      </c>
      <c r="B9" s="13">
        <v>2016</v>
      </c>
      <c r="C9" s="4" t="s">
        <v>174</v>
      </c>
      <c r="D9" s="15">
        <f>IF('Dados brutos atualizados'!E9="","",'Dados brutos atualizados'!E9)</f>
        <v>-6.6546689825751999</v>
      </c>
      <c r="E9" s="15">
        <f>IF(D9="","",D9*'Dados brutos atualizados'!G9)</f>
        <v>-6.6546689825751999</v>
      </c>
      <c r="F9" s="4"/>
      <c r="G9" s="14"/>
      <c r="H9" s="14"/>
      <c r="I9" s="14"/>
      <c r="J9" s="15">
        <f>IF(D9="","",D9)</f>
        <v>-6.6546689825751999</v>
      </c>
      <c r="K9" s="14" t="s">
        <v>156</v>
      </c>
      <c r="L9" s="14" t="s">
        <v>148</v>
      </c>
      <c r="M9" s="18" t="s">
        <v>178</v>
      </c>
      <c r="N9" s="14" t="s">
        <v>177</v>
      </c>
    </row>
    <row r="10" spans="1:14" ht="24">
      <c r="A10" s="4" t="s">
        <v>119</v>
      </c>
      <c r="B10" s="13">
        <v>2016</v>
      </c>
      <c r="C10" s="4" t="s">
        <v>179</v>
      </c>
      <c r="D10" s="15">
        <f>IF('Dados brutos atualizados'!E10="","",'Dados brutos atualizados'!E10)</f>
        <v>43.59</v>
      </c>
      <c r="E10" s="15">
        <f>IF(D10="","",D10*'Dados brutos atualizados'!G10)</f>
        <v>43590000</v>
      </c>
      <c r="F10" s="4"/>
      <c r="G10" s="14"/>
      <c r="H10" s="14"/>
      <c r="I10" s="14"/>
      <c r="J10" s="15">
        <f>IF(D10="","",D10)</f>
        <v>43.59</v>
      </c>
      <c r="K10" s="14" t="s">
        <v>180</v>
      </c>
      <c r="L10" s="14" t="s">
        <v>148</v>
      </c>
      <c r="M10" s="18" t="s">
        <v>183</v>
      </c>
      <c r="N10" s="14" t="s">
        <v>182</v>
      </c>
    </row>
    <row r="11" spans="1:14" ht="36">
      <c r="A11" s="4" t="s">
        <v>119</v>
      </c>
      <c r="B11" s="13">
        <v>2016</v>
      </c>
      <c r="C11" s="4" t="s">
        <v>184</v>
      </c>
      <c r="D11" s="15">
        <f>IF('Dados brutos atualizados'!E11="","",'Dados brutos atualizados'!E11)</f>
        <v>1120751.4203780401</v>
      </c>
      <c r="E11" s="14"/>
      <c r="F11" s="4"/>
      <c r="G11" s="14"/>
      <c r="H11" s="14"/>
      <c r="I11" s="14"/>
      <c r="J11" s="15">
        <f>IF(D11="","",D11)</f>
        <v>1120751.4203780401</v>
      </c>
      <c r="K11" s="14" t="s">
        <v>185</v>
      </c>
      <c r="L11" s="14" t="s">
        <v>188</v>
      </c>
      <c r="M11" s="18" t="s">
        <v>190</v>
      </c>
      <c r="N11" s="14" t="s">
        <v>189</v>
      </c>
    </row>
    <row r="12" spans="1:14" ht="24">
      <c r="A12" s="4" t="s">
        <v>119</v>
      </c>
      <c r="B12" s="13">
        <v>2016</v>
      </c>
      <c r="C12" s="4" t="s">
        <v>191</v>
      </c>
      <c r="D12" s="15" t="str">
        <f>IF('Dados brutos atualizados'!E12="","",'Dados brutos atualizados'!E12)</f>
        <v/>
      </c>
      <c r="E12" s="15" t="str">
        <f>IF(D12="","",D12*'Dados brutos atualizados'!G12)</f>
        <v/>
      </c>
      <c r="F12" s="17" t="str">
        <f>IF(E12="","",Deflatores!E14)</f>
        <v/>
      </c>
      <c r="G12" s="15" t="str">
        <f>IF(OR(E12="",F12=""),"",E12*F12)</f>
        <v/>
      </c>
      <c r="H12" s="15">
        <f>IF('Dados tratados'!E10="","",'Dados tratados'!E10)</f>
        <v>43590000</v>
      </c>
      <c r="I12" s="15" t="str">
        <f>IF(OR(G12="",H12="",H12=0),"",G12/H12)</f>
        <v/>
      </c>
      <c r="J12" s="14"/>
      <c r="K12" s="14" t="s">
        <v>168</v>
      </c>
      <c r="L12" s="14" t="s">
        <v>171</v>
      </c>
      <c r="M12" s="18" t="s">
        <v>173</v>
      </c>
      <c r="N12" s="14" t="s">
        <v>172</v>
      </c>
    </row>
    <row r="13" spans="1:14" ht="24">
      <c r="A13" s="4" t="s">
        <v>119</v>
      </c>
      <c r="B13" s="13">
        <v>2016</v>
      </c>
      <c r="C13" s="4" t="s">
        <v>192</v>
      </c>
      <c r="D13" s="15" t="str">
        <f>IF('Dados brutos atualizados'!E13="","",'Dados brutos atualizados'!E13)</f>
        <v/>
      </c>
      <c r="E13" s="15" t="str">
        <f>IF(D13="","",D13*'Dados brutos atualizados'!G13)</f>
        <v/>
      </c>
      <c r="F13" s="17" t="str">
        <f>IF(E13="","",Deflatores!E14)</f>
        <v/>
      </c>
      <c r="G13" s="15" t="str">
        <f>IF(OR(E13="",F13=""),"",E13*F13)</f>
        <v/>
      </c>
      <c r="H13" s="15">
        <f>IF('Dados tratados'!E10="","",'Dados tratados'!E10)</f>
        <v>43590000</v>
      </c>
      <c r="I13" s="15" t="str">
        <f>IF(OR(G13="",H13="",H13=0),"",G13/H13)</f>
        <v/>
      </c>
      <c r="J13" s="14"/>
      <c r="K13" s="14" t="s">
        <v>168</v>
      </c>
      <c r="L13" s="14" t="s">
        <v>171</v>
      </c>
      <c r="M13" s="18" t="s">
        <v>173</v>
      </c>
      <c r="N13" s="14" t="s">
        <v>172</v>
      </c>
    </row>
    <row r="14" spans="1:14" ht="24">
      <c r="A14" s="4" t="s">
        <v>119</v>
      </c>
      <c r="B14" s="13">
        <v>2017</v>
      </c>
      <c r="C14" s="4" t="s">
        <v>131</v>
      </c>
      <c r="D14" s="15">
        <f>IF('Dados brutos atualizados'!E14="","",'Dados brutos atualizados'!E14)</f>
        <v>2842216743.2852101</v>
      </c>
      <c r="E14" s="15">
        <f>IF(D14="","",D14*'Dados brutos atualizados'!G14)</f>
        <v>2842216743285.21</v>
      </c>
      <c r="F14" s="17">
        <f>IF(E14="","",Deflatores!E15)</f>
        <v>79.382983957534506</v>
      </c>
      <c r="G14" s="15">
        <f>IF(OR(E14="",F14=""),"",E14*F14)</f>
        <v>225623646136045.78</v>
      </c>
      <c r="H14" s="15">
        <f>IF('Dados tratados'!E22="","",'Dados tratados'!E22)</f>
        <v>44045000</v>
      </c>
      <c r="I14" s="15">
        <f>IF(OR(G14="",H14="",H14=0),"",G14/H14)</f>
        <v>5122571.1462378427</v>
      </c>
      <c r="J14" s="14"/>
      <c r="K14" s="14" t="s">
        <v>132</v>
      </c>
      <c r="L14" s="14" t="s">
        <v>135</v>
      </c>
      <c r="M14" s="18" t="s">
        <v>195</v>
      </c>
      <c r="N14" s="14" t="s">
        <v>136</v>
      </c>
    </row>
    <row r="15" spans="1:14" ht="24">
      <c r="A15" s="4" t="s">
        <v>119</v>
      </c>
      <c r="B15" s="13">
        <v>2017</v>
      </c>
      <c r="C15" s="4" t="s">
        <v>138</v>
      </c>
      <c r="D15" s="15">
        <f>IF('Dados brutos atualizados'!E15="","",'Dados brutos atualizados'!E15)</f>
        <v>25.7</v>
      </c>
      <c r="E15" s="15">
        <f>IF(D15="","",D15*'Dados brutos atualizados'!G15)</f>
        <v>25.7</v>
      </c>
      <c r="F15" s="4"/>
      <c r="G15" s="14"/>
      <c r="H15" s="14"/>
      <c r="I15" s="14"/>
      <c r="J15" s="15">
        <f>IF(D15="","",D15)</f>
        <v>25.7</v>
      </c>
      <c r="K15" s="14" t="s">
        <v>139</v>
      </c>
      <c r="L15" s="14" t="s">
        <v>148</v>
      </c>
      <c r="M15" s="18" t="s">
        <v>144</v>
      </c>
      <c r="N15" s="14" t="s">
        <v>143</v>
      </c>
    </row>
    <row r="16" spans="1:14" ht="24">
      <c r="A16" s="4" t="s">
        <v>119</v>
      </c>
      <c r="B16" s="13">
        <v>2017</v>
      </c>
      <c r="C16" s="4" t="s">
        <v>145</v>
      </c>
      <c r="D16" s="15">
        <f>IF('Dados brutos atualizados'!E16="","",'Dados brutos atualizados'!E16)</f>
        <v>643.86099999999999</v>
      </c>
      <c r="E16" s="15">
        <f>IF(D16="","",D16*'Dados brutos atualizados'!G16)</f>
        <v>643.86099999999999</v>
      </c>
      <c r="F16" s="4"/>
      <c r="G16" s="14"/>
      <c r="H16" s="14"/>
      <c r="I16" s="14"/>
      <c r="J16" s="15">
        <f>IF(D16="","",D16)</f>
        <v>643.86099999999999</v>
      </c>
      <c r="K16" s="14" t="s">
        <v>146</v>
      </c>
      <c r="L16" s="14" t="s">
        <v>148</v>
      </c>
      <c r="M16" s="18" t="s">
        <v>150</v>
      </c>
      <c r="N16" s="14" t="s">
        <v>149</v>
      </c>
    </row>
    <row r="17" spans="1:14" ht="24">
      <c r="A17" s="4" t="s">
        <v>119</v>
      </c>
      <c r="B17" s="13">
        <v>2017</v>
      </c>
      <c r="C17" s="4" t="s">
        <v>151</v>
      </c>
      <c r="D17" s="15">
        <f>IF('Dados brutos atualizados'!E17="","",'Dados brutos atualizados'!E17)</f>
        <v>2.8</v>
      </c>
      <c r="E17" s="15">
        <f>IF(D17="","",D17*'Dados brutos atualizados'!G17)</f>
        <v>2.8</v>
      </c>
      <c r="F17" s="4"/>
      <c r="G17" s="14"/>
      <c r="H17" s="14"/>
      <c r="I17" s="14"/>
      <c r="J17" s="15">
        <f>IF(D17="","",D17)</f>
        <v>2.8</v>
      </c>
      <c r="K17" s="14" t="s">
        <v>139</v>
      </c>
      <c r="L17" s="14" t="s">
        <v>148</v>
      </c>
      <c r="M17" s="18" t="s">
        <v>154</v>
      </c>
      <c r="N17" s="14" t="s">
        <v>153</v>
      </c>
    </row>
    <row r="18" spans="1:14" ht="24">
      <c r="A18" s="4" t="s">
        <v>119</v>
      </c>
      <c r="B18" s="13">
        <v>2017</v>
      </c>
      <c r="C18" s="4" t="s">
        <v>155</v>
      </c>
      <c r="D18" s="15">
        <f>IF('Dados brutos atualizados'!E18="","",'Dados brutos atualizados'!E18)</f>
        <v>41.121454021199</v>
      </c>
      <c r="E18" s="15">
        <f>IF(D18="","",D18*'Dados brutos atualizados'!G18)</f>
        <v>41.121454021199</v>
      </c>
      <c r="F18" s="4"/>
      <c r="G18" s="14"/>
      <c r="H18" s="14"/>
      <c r="I18" s="14"/>
      <c r="J18" s="15">
        <f>IF(D18="","",D18)</f>
        <v>41.121454021199</v>
      </c>
      <c r="K18" s="14" t="s">
        <v>156</v>
      </c>
      <c r="L18" s="14" t="s">
        <v>159</v>
      </c>
      <c r="M18" s="18" t="s">
        <v>161</v>
      </c>
      <c r="N18" s="14" t="s">
        <v>160</v>
      </c>
    </row>
    <row r="19" spans="1:14" ht="24">
      <c r="A19" s="4" t="s">
        <v>119</v>
      </c>
      <c r="B19" s="13">
        <v>2017</v>
      </c>
      <c r="C19" s="4" t="s">
        <v>162</v>
      </c>
      <c r="D19" s="15">
        <f>IF('Dados brutos atualizados'!E19="","",'Dados brutos atualizados'!E19)</f>
        <v>57</v>
      </c>
      <c r="E19" s="15">
        <f>IF(D19="","",D19*'Dados brutos atualizados'!G19)</f>
        <v>57</v>
      </c>
      <c r="F19" s="4"/>
      <c r="G19" s="14"/>
      <c r="H19" s="14"/>
      <c r="I19" s="14"/>
      <c r="J19" s="15">
        <f>IF(D19="","",D19)</f>
        <v>57</v>
      </c>
      <c r="K19" s="14" t="s">
        <v>163</v>
      </c>
      <c r="L19" s="14" t="s">
        <v>148</v>
      </c>
      <c r="M19" s="18" t="s">
        <v>166</v>
      </c>
      <c r="N19" s="14" t="s">
        <v>165</v>
      </c>
    </row>
    <row r="20" spans="1:14" ht="24">
      <c r="A20" s="4" t="s">
        <v>119</v>
      </c>
      <c r="B20" s="13">
        <v>2017</v>
      </c>
      <c r="C20" s="4" t="s">
        <v>167</v>
      </c>
      <c r="D20" s="15" t="str">
        <f>IF('Dados brutos atualizados'!E20="","",'Dados brutos atualizados'!E20)</f>
        <v/>
      </c>
      <c r="E20" s="15" t="str">
        <f>IF(D20="","",D20*'Dados brutos atualizados'!G20)</f>
        <v/>
      </c>
      <c r="F20" s="17" t="str">
        <f>IF(E20="","",Deflatores!E15)</f>
        <v/>
      </c>
      <c r="G20" s="15" t="str">
        <f>IF(OR(E20="",F20=""),"",E20*F20)</f>
        <v/>
      </c>
      <c r="H20" s="15">
        <f>IF('Dados tratados'!E22="","",'Dados tratados'!E22)</f>
        <v>44045000</v>
      </c>
      <c r="I20" s="15" t="str">
        <f>IF(OR(G20="",H20="",H20=0),"",G20/H20)</f>
        <v/>
      </c>
      <c r="J20" s="14"/>
      <c r="K20" s="14" t="s">
        <v>168</v>
      </c>
      <c r="L20" s="14" t="s">
        <v>171</v>
      </c>
      <c r="M20" s="18" t="s">
        <v>173</v>
      </c>
      <c r="N20" s="14" t="s">
        <v>172</v>
      </c>
    </row>
    <row r="21" spans="1:14" ht="24">
      <c r="A21" s="4" t="s">
        <v>119</v>
      </c>
      <c r="B21" s="13">
        <v>2017</v>
      </c>
      <c r="C21" s="4" t="s">
        <v>174</v>
      </c>
      <c r="D21" s="15">
        <f>IF('Dados brutos atualizados'!E21="","",'Dados brutos atualizados'!E21)</f>
        <v>-6.6933411315782996</v>
      </c>
      <c r="E21" s="15">
        <f>IF(D21="","",D21*'Dados brutos atualizados'!G21)</f>
        <v>-6.6933411315782996</v>
      </c>
      <c r="F21" s="4"/>
      <c r="G21" s="14"/>
      <c r="H21" s="14"/>
      <c r="I21" s="14"/>
      <c r="J21" s="15">
        <f>IF(D21="","",D21)</f>
        <v>-6.6933411315782996</v>
      </c>
      <c r="K21" s="14" t="s">
        <v>156</v>
      </c>
      <c r="L21" s="14" t="s">
        <v>148</v>
      </c>
      <c r="M21" s="18" t="s">
        <v>178</v>
      </c>
      <c r="N21" s="14" t="s">
        <v>177</v>
      </c>
    </row>
    <row r="22" spans="1:14" ht="24">
      <c r="A22" s="4" t="s">
        <v>119</v>
      </c>
      <c r="B22" s="13">
        <v>2017</v>
      </c>
      <c r="C22" s="4" t="s">
        <v>179</v>
      </c>
      <c r="D22" s="15">
        <f>IF('Dados brutos atualizados'!E22="","",'Dados brutos atualizados'!E22)</f>
        <v>44.045000000000002</v>
      </c>
      <c r="E22" s="15">
        <f>IF(D22="","",D22*'Dados brutos atualizados'!G22)</f>
        <v>44045000</v>
      </c>
      <c r="F22" s="4"/>
      <c r="G22" s="14"/>
      <c r="H22" s="14"/>
      <c r="I22" s="14"/>
      <c r="J22" s="15">
        <f>IF(D22="","",D22)</f>
        <v>44.045000000000002</v>
      </c>
      <c r="K22" s="14" t="s">
        <v>180</v>
      </c>
      <c r="L22" s="14" t="s">
        <v>148</v>
      </c>
      <c r="M22" s="18" t="s">
        <v>183</v>
      </c>
      <c r="N22" s="14" t="s">
        <v>182</v>
      </c>
    </row>
    <row r="23" spans="1:14" ht="36">
      <c r="A23" s="4" t="s">
        <v>119</v>
      </c>
      <c r="B23" s="13">
        <v>2017</v>
      </c>
      <c r="C23" s="4" t="s">
        <v>184</v>
      </c>
      <c r="D23" s="15">
        <f>IF('Dados brutos atualizados'!E23="","",'Dados brutos atualizados'!E23)</f>
        <v>1457199.8249073001</v>
      </c>
      <c r="E23" s="14"/>
      <c r="F23" s="4"/>
      <c r="G23" s="14"/>
      <c r="H23" s="14"/>
      <c r="I23" s="14"/>
      <c r="J23" s="15">
        <f>IF(D23="","",D23)</f>
        <v>1457199.8249073001</v>
      </c>
      <c r="K23" s="14" t="s">
        <v>185</v>
      </c>
      <c r="L23" s="14" t="s">
        <v>188</v>
      </c>
      <c r="M23" s="18" t="s">
        <v>190</v>
      </c>
      <c r="N23" s="14" t="s">
        <v>189</v>
      </c>
    </row>
    <row r="24" spans="1:14" ht="24">
      <c r="A24" s="4" t="s">
        <v>119</v>
      </c>
      <c r="B24" s="13">
        <v>2017</v>
      </c>
      <c r="C24" s="4" t="s">
        <v>191</v>
      </c>
      <c r="D24" s="15" t="str">
        <f>IF('Dados brutos atualizados'!E24="","",'Dados brutos atualizados'!E24)</f>
        <v/>
      </c>
      <c r="E24" s="15" t="str">
        <f>IF(D24="","",D24*'Dados brutos atualizados'!G24)</f>
        <v/>
      </c>
      <c r="F24" s="17" t="str">
        <f>IF(E24="","",Deflatores!E15)</f>
        <v/>
      </c>
      <c r="G24" s="15" t="str">
        <f>IF(OR(E24="",F24=""),"",E24*F24)</f>
        <v/>
      </c>
      <c r="H24" s="15">
        <f>IF('Dados tratados'!E22="","",'Dados tratados'!E22)</f>
        <v>44045000</v>
      </c>
      <c r="I24" s="15" t="str">
        <f>IF(OR(G24="",H24="",H24=0),"",G24/H24)</f>
        <v/>
      </c>
      <c r="J24" s="14"/>
      <c r="K24" s="14" t="s">
        <v>168</v>
      </c>
      <c r="L24" s="14" t="s">
        <v>171</v>
      </c>
      <c r="M24" s="18" t="s">
        <v>173</v>
      </c>
      <c r="N24" s="14" t="s">
        <v>172</v>
      </c>
    </row>
    <row r="25" spans="1:14" ht="24">
      <c r="A25" s="4" t="s">
        <v>119</v>
      </c>
      <c r="B25" s="13">
        <v>2017</v>
      </c>
      <c r="C25" s="4" t="s">
        <v>192</v>
      </c>
      <c r="D25" s="15" t="str">
        <f>IF('Dados brutos atualizados'!E25="","",'Dados brutos atualizados'!E25)</f>
        <v/>
      </c>
      <c r="E25" s="15" t="str">
        <f>IF(D25="","",D25*'Dados brutos atualizados'!G25)</f>
        <v/>
      </c>
      <c r="F25" s="17" t="str">
        <f>IF(E25="","",Deflatores!E15)</f>
        <v/>
      </c>
      <c r="G25" s="15" t="str">
        <f>IF(OR(E25="",F25=""),"",E25*F25)</f>
        <v/>
      </c>
      <c r="H25" s="15">
        <f>IF('Dados tratados'!E22="","",'Dados tratados'!E22)</f>
        <v>44045000</v>
      </c>
      <c r="I25" s="15" t="str">
        <f>IF(OR(G25="",H25="",H25=0),"",G25/H25)</f>
        <v/>
      </c>
      <c r="J25" s="14"/>
      <c r="K25" s="14" t="s">
        <v>168</v>
      </c>
      <c r="L25" s="14" t="s">
        <v>171</v>
      </c>
      <c r="M25" s="18" t="s">
        <v>173</v>
      </c>
      <c r="N25" s="14" t="s">
        <v>172</v>
      </c>
    </row>
    <row r="26" spans="1:14" ht="24">
      <c r="A26" s="4" t="s">
        <v>119</v>
      </c>
      <c r="B26" s="13">
        <v>2018</v>
      </c>
      <c r="C26" s="4" t="s">
        <v>131</v>
      </c>
      <c r="D26" s="15">
        <f>IF('Dados brutos atualizados'!E26="","",'Dados brutos atualizados'!E26)</f>
        <v>3713409148.3684402</v>
      </c>
      <c r="E26" s="15">
        <f>IF(D26="","",D26*'Dados brutos atualizados'!G26)</f>
        <v>3713409148368.4399</v>
      </c>
      <c r="F26" s="17">
        <f>IF(E26="","",Deflatores!E16)</f>
        <v>59.108699893919955</v>
      </c>
      <c r="G26" s="15">
        <f>IF(OR(E26="",F26=""),"",E26*F26)</f>
        <v>219494786934247</v>
      </c>
      <c r="H26" s="15">
        <f>IF('Dados tratados'!E34="","",'Dados tratados'!E34)</f>
        <v>44495000</v>
      </c>
      <c r="I26" s="15">
        <f>IF(OR(G26="",H26="",H26=0),"",G26/H26)</f>
        <v>4933021.3941846723</v>
      </c>
      <c r="J26" s="14"/>
      <c r="K26" s="14" t="s">
        <v>132</v>
      </c>
      <c r="L26" s="14" t="s">
        <v>135</v>
      </c>
      <c r="M26" s="18" t="s">
        <v>198</v>
      </c>
      <c r="N26" s="14" t="s">
        <v>136</v>
      </c>
    </row>
    <row r="27" spans="1:14" ht="24">
      <c r="A27" s="4" t="s">
        <v>119</v>
      </c>
      <c r="B27" s="13">
        <v>2018</v>
      </c>
      <c r="C27" s="4" t="s">
        <v>138</v>
      </c>
      <c r="D27" s="15">
        <f>IF('Dados brutos atualizados'!E27="","",'Dados brutos atualizados'!E27)</f>
        <v>34.299999999999997</v>
      </c>
      <c r="E27" s="15">
        <f>IF(D27="","",D27*'Dados brutos atualizados'!G27)</f>
        <v>34.299999999999997</v>
      </c>
      <c r="F27" s="4"/>
      <c r="G27" s="14"/>
      <c r="H27" s="14"/>
      <c r="I27" s="14"/>
      <c r="J27" s="15">
        <f>IF(D27="","",D27)</f>
        <v>34.299999999999997</v>
      </c>
      <c r="K27" s="14" t="s">
        <v>139</v>
      </c>
      <c r="L27" s="14" t="s">
        <v>148</v>
      </c>
      <c r="M27" s="18" t="s">
        <v>144</v>
      </c>
      <c r="N27" s="14" t="s">
        <v>143</v>
      </c>
    </row>
    <row r="28" spans="1:14" ht="24">
      <c r="A28" s="4" t="s">
        <v>119</v>
      </c>
      <c r="B28" s="13">
        <v>2018</v>
      </c>
      <c r="C28" s="4" t="s">
        <v>145</v>
      </c>
      <c r="D28" s="15">
        <f>IF('Dados brutos atualizados'!E28="","",'Dados brutos atualizados'!E28)</f>
        <v>524.43100000000004</v>
      </c>
      <c r="E28" s="15">
        <f>IF(D28="","",D28*'Dados brutos atualizados'!G28)</f>
        <v>524.43100000000004</v>
      </c>
      <c r="F28" s="4"/>
      <c r="G28" s="14"/>
      <c r="H28" s="14"/>
      <c r="I28" s="14"/>
      <c r="J28" s="15">
        <f>IF(D28="","",D28)</f>
        <v>524.43100000000004</v>
      </c>
      <c r="K28" s="14" t="s">
        <v>146</v>
      </c>
      <c r="L28" s="14" t="s">
        <v>148</v>
      </c>
      <c r="M28" s="18" t="s">
        <v>150</v>
      </c>
      <c r="N28" s="14" t="s">
        <v>149</v>
      </c>
    </row>
    <row r="29" spans="1:14" ht="24">
      <c r="A29" s="4" t="s">
        <v>119</v>
      </c>
      <c r="B29" s="13">
        <v>2018</v>
      </c>
      <c r="C29" s="4" t="s">
        <v>151</v>
      </c>
      <c r="D29" s="15">
        <f>IF('Dados brutos atualizados'!E29="","",'Dados brutos atualizados'!E29)</f>
        <v>-2.6</v>
      </c>
      <c r="E29" s="15">
        <f>IF(D29="","",D29*'Dados brutos atualizados'!G29)</f>
        <v>-2.6</v>
      </c>
      <c r="F29" s="4"/>
      <c r="G29" s="14"/>
      <c r="H29" s="14"/>
      <c r="I29" s="14"/>
      <c r="J29" s="15">
        <f>IF(D29="","",D29)</f>
        <v>-2.6</v>
      </c>
      <c r="K29" s="14" t="s">
        <v>139</v>
      </c>
      <c r="L29" s="14" t="s">
        <v>148</v>
      </c>
      <c r="M29" s="18" t="s">
        <v>154</v>
      </c>
      <c r="N29" s="14" t="s">
        <v>153</v>
      </c>
    </row>
    <row r="30" spans="1:14" ht="24">
      <c r="A30" s="4" t="s">
        <v>119</v>
      </c>
      <c r="B30" s="13">
        <v>2018</v>
      </c>
      <c r="C30" s="4" t="s">
        <v>155</v>
      </c>
      <c r="D30" s="15">
        <f>IF('Dados brutos atualizados'!E30="","",'Dados brutos atualizados'!E30)</f>
        <v>38.949208040045001</v>
      </c>
      <c r="E30" s="15">
        <f>IF(D30="","",D30*'Dados brutos atualizados'!G30)</f>
        <v>38.949208040045001</v>
      </c>
      <c r="F30" s="4"/>
      <c r="G30" s="14"/>
      <c r="H30" s="14"/>
      <c r="I30" s="14"/>
      <c r="J30" s="15">
        <f>IF(D30="","",D30)</f>
        <v>38.949208040045001</v>
      </c>
      <c r="K30" s="14" t="s">
        <v>156</v>
      </c>
      <c r="L30" s="14" t="s">
        <v>159</v>
      </c>
      <c r="M30" s="18" t="s">
        <v>161</v>
      </c>
      <c r="N30" s="14" t="s">
        <v>160</v>
      </c>
    </row>
    <row r="31" spans="1:14" ht="24">
      <c r="A31" s="4" t="s">
        <v>119</v>
      </c>
      <c r="B31" s="13">
        <v>2018</v>
      </c>
      <c r="C31" s="4" t="s">
        <v>162</v>
      </c>
      <c r="D31" s="15">
        <f>IF('Dados brutos atualizados'!E31="","",'Dados brutos atualizados'!E31)</f>
        <v>85.2</v>
      </c>
      <c r="E31" s="15">
        <f>IF(D31="","",D31*'Dados brutos atualizados'!G31)</f>
        <v>85.2</v>
      </c>
      <c r="F31" s="4"/>
      <c r="G31" s="14"/>
      <c r="H31" s="14"/>
      <c r="I31" s="14"/>
      <c r="J31" s="15">
        <f>IF(D31="","",D31)</f>
        <v>85.2</v>
      </c>
      <c r="K31" s="14" t="s">
        <v>163</v>
      </c>
      <c r="L31" s="14" t="s">
        <v>148</v>
      </c>
      <c r="M31" s="18" t="s">
        <v>166</v>
      </c>
      <c r="N31" s="14" t="s">
        <v>165</v>
      </c>
    </row>
    <row r="32" spans="1:14" ht="24">
      <c r="A32" s="4" t="s">
        <v>119</v>
      </c>
      <c r="B32" s="13">
        <v>2018</v>
      </c>
      <c r="C32" s="4" t="s">
        <v>167</v>
      </c>
      <c r="D32" s="15" t="str">
        <f>IF('Dados brutos atualizados'!E32="","",'Dados brutos atualizados'!E32)</f>
        <v/>
      </c>
      <c r="E32" s="15" t="str">
        <f>IF(D32="","",D32*'Dados brutos atualizados'!G32)</f>
        <v/>
      </c>
      <c r="F32" s="17" t="str">
        <f>IF(E32="","",Deflatores!E16)</f>
        <v/>
      </c>
      <c r="G32" s="15" t="str">
        <f>IF(OR(E32="",F32=""),"",E32*F32)</f>
        <v/>
      </c>
      <c r="H32" s="15">
        <f>IF('Dados tratados'!E34="","",'Dados tratados'!E34)</f>
        <v>44495000</v>
      </c>
      <c r="I32" s="15" t="str">
        <f>IF(OR(G32="",H32="",H32=0),"",G32/H32)</f>
        <v/>
      </c>
      <c r="J32" s="14"/>
      <c r="K32" s="14" t="s">
        <v>168</v>
      </c>
      <c r="L32" s="14" t="s">
        <v>171</v>
      </c>
      <c r="M32" s="18" t="s">
        <v>173</v>
      </c>
      <c r="N32" s="14" t="s">
        <v>172</v>
      </c>
    </row>
    <row r="33" spans="1:14" ht="24">
      <c r="A33" s="4" t="s">
        <v>119</v>
      </c>
      <c r="B33" s="13">
        <v>2018</v>
      </c>
      <c r="C33" s="4" t="s">
        <v>174</v>
      </c>
      <c r="D33" s="15">
        <f>IF('Dados brutos atualizados'!E33="","",'Dados brutos atualizados'!E33)</f>
        <v>-5.4411455069360999</v>
      </c>
      <c r="E33" s="15">
        <f>IF(D33="","",D33*'Dados brutos atualizados'!G33)</f>
        <v>-5.4411455069360999</v>
      </c>
      <c r="F33" s="4"/>
      <c r="G33" s="14"/>
      <c r="H33" s="14"/>
      <c r="I33" s="14"/>
      <c r="J33" s="15">
        <f>IF(D33="","",D33)</f>
        <v>-5.4411455069360999</v>
      </c>
      <c r="K33" s="14" t="s">
        <v>156</v>
      </c>
      <c r="L33" s="14" t="s">
        <v>148</v>
      </c>
      <c r="M33" s="18" t="s">
        <v>178</v>
      </c>
      <c r="N33" s="14" t="s">
        <v>177</v>
      </c>
    </row>
    <row r="34" spans="1:14" ht="24">
      <c r="A34" s="4" t="s">
        <v>119</v>
      </c>
      <c r="B34" s="13">
        <v>2018</v>
      </c>
      <c r="C34" s="4" t="s">
        <v>179</v>
      </c>
      <c r="D34" s="15">
        <f>IF('Dados brutos atualizados'!E34="","",'Dados brutos atualizados'!E34)</f>
        <v>44.494999999999997</v>
      </c>
      <c r="E34" s="15">
        <f>IF(D34="","",D34*'Dados brutos atualizados'!G34)</f>
        <v>44495000</v>
      </c>
      <c r="F34" s="4"/>
      <c r="G34" s="14"/>
      <c r="H34" s="14"/>
      <c r="I34" s="14"/>
      <c r="J34" s="15">
        <f>IF(D34="","",D34)</f>
        <v>44.494999999999997</v>
      </c>
      <c r="K34" s="14" t="s">
        <v>180</v>
      </c>
      <c r="L34" s="14" t="s">
        <v>148</v>
      </c>
      <c r="M34" s="18" t="s">
        <v>183</v>
      </c>
      <c r="N34" s="14" t="s">
        <v>182</v>
      </c>
    </row>
    <row r="35" spans="1:14" ht="36">
      <c r="A35" s="4" t="s">
        <v>119</v>
      </c>
      <c r="B35" s="13">
        <v>2018</v>
      </c>
      <c r="C35" s="4" t="s">
        <v>184</v>
      </c>
      <c r="D35" s="15">
        <f>IF('Dados brutos atualizados'!E35="","",'Dados brutos atualizados'!E35)</f>
        <v>1924313.7623585199</v>
      </c>
      <c r="E35" s="14"/>
      <c r="F35" s="4"/>
      <c r="G35" s="14"/>
      <c r="H35" s="14"/>
      <c r="I35" s="14"/>
      <c r="J35" s="15">
        <f>IF(D35="","",D35)</f>
        <v>1924313.7623585199</v>
      </c>
      <c r="K35" s="14" t="s">
        <v>185</v>
      </c>
      <c r="L35" s="14" t="s">
        <v>188</v>
      </c>
      <c r="M35" s="18" t="s">
        <v>190</v>
      </c>
      <c r="N35" s="14" t="s">
        <v>189</v>
      </c>
    </row>
    <row r="36" spans="1:14" ht="24">
      <c r="A36" s="4" t="s">
        <v>119</v>
      </c>
      <c r="B36" s="13">
        <v>2018</v>
      </c>
      <c r="C36" s="4" t="s">
        <v>191</v>
      </c>
      <c r="D36" s="15" t="str">
        <f>IF('Dados brutos atualizados'!E36="","",'Dados brutos atualizados'!E36)</f>
        <v/>
      </c>
      <c r="E36" s="15" t="str">
        <f>IF(D36="","",D36*'Dados brutos atualizados'!G36)</f>
        <v/>
      </c>
      <c r="F36" s="17" t="str">
        <f>IF(E36="","",Deflatores!E16)</f>
        <v/>
      </c>
      <c r="G36" s="15" t="str">
        <f>IF(OR(E36="",F36=""),"",E36*F36)</f>
        <v/>
      </c>
      <c r="H36" s="15">
        <f>IF('Dados tratados'!E34="","",'Dados tratados'!E34)</f>
        <v>44495000</v>
      </c>
      <c r="I36" s="15" t="str">
        <f>IF(OR(G36="",H36="",H36=0),"",G36/H36)</f>
        <v/>
      </c>
      <c r="J36" s="14"/>
      <c r="K36" s="14" t="s">
        <v>168</v>
      </c>
      <c r="L36" s="14" t="s">
        <v>171</v>
      </c>
      <c r="M36" s="18" t="s">
        <v>173</v>
      </c>
      <c r="N36" s="14" t="s">
        <v>172</v>
      </c>
    </row>
    <row r="37" spans="1:14" ht="24">
      <c r="A37" s="4" t="s">
        <v>119</v>
      </c>
      <c r="B37" s="13">
        <v>2018</v>
      </c>
      <c r="C37" s="4" t="s">
        <v>192</v>
      </c>
      <c r="D37" s="15" t="str">
        <f>IF('Dados brutos atualizados'!E37="","",'Dados brutos atualizados'!E37)</f>
        <v/>
      </c>
      <c r="E37" s="15" t="str">
        <f>IF(D37="","",D37*'Dados brutos atualizados'!G37)</f>
        <v/>
      </c>
      <c r="F37" s="17" t="str">
        <f>IF(E37="","",Deflatores!E16)</f>
        <v/>
      </c>
      <c r="G37" s="15" t="str">
        <f>IF(OR(E37="",F37=""),"",E37*F37)</f>
        <v/>
      </c>
      <c r="H37" s="15">
        <f>IF('Dados tratados'!E34="","",'Dados tratados'!E34)</f>
        <v>44495000</v>
      </c>
      <c r="I37" s="15" t="str">
        <f>IF(OR(G37="",H37="",H37=0),"",G37/H37)</f>
        <v/>
      </c>
      <c r="J37" s="14"/>
      <c r="K37" s="14" t="s">
        <v>168</v>
      </c>
      <c r="L37" s="14" t="s">
        <v>171</v>
      </c>
      <c r="M37" s="18" t="s">
        <v>173</v>
      </c>
      <c r="N37" s="14" t="s">
        <v>172</v>
      </c>
    </row>
    <row r="38" spans="1:14" ht="24">
      <c r="A38" s="4" t="s">
        <v>119</v>
      </c>
      <c r="B38" s="13">
        <v>2019</v>
      </c>
      <c r="C38" s="4" t="s">
        <v>131</v>
      </c>
      <c r="D38" s="15">
        <f>IF('Dados brutos atualizados'!E38="","",'Dados brutos atualizados'!E38)</f>
        <v>5473537926.4927902</v>
      </c>
      <c r="E38" s="15">
        <f>IF(D38="","",D38*'Dados brutos atualizados'!G38)</f>
        <v>5473537926492.79</v>
      </c>
      <c r="F38" s="17">
        <f>IF(E38="","",Deflatores!E17)</f>
        <v>38.507296347830582</v>
      </c>
      <c r="G38" s="15">
        <f>IF(OR(E38="",F38=""),"",E38*F38)</f>
        <v>210771147006548</v>
      </c>
      <c r="H38" s="15">
        <f>IF('Dados tratados'!E46="","",'Dados tratados'!E46)</f>
        <v>44939000</v>
      </c>
      <c r="I38" s="15">
        <f>IF(OR(G38="",H38="",H38=0),"",G38/H38)</f>
        <v>4690161.0406673048</v>
      </c>
      <c r="J38" s="14"/>
      <c r="K38" s="14" t="s">
        <v>132</v>
      </c>
      <c r="L38" s="14" t="s">
        <v>135</v>
      </c>
      <c r="M38" s="18" t="s">
        <v>201</v>
      </c>
      <c r="N38" s="14" t="s">
        <v>136</v>
      </c>
    </row>
    <row r="39" spans="1:14" ht="24">
      <c r="A39" s="4" t="s">
        <v>119</v>
      </c>
      <c r="B39" s="13">
        <v>2019</v>
      </c>
      <c r="C39" s="4" t="s">
        <v>138</v>
      </c>
      <c r="D39" s="15">
        <f>IF('Dados brutos atualizados'!E39="","",'Dados brutos atualizados'!E39)</f>
        <v>53.5</v>
      </c>
      <c r="E39" s="15">
        <f>IF(D39="","",D39*'Dados brutos atualizados'!G39)</f>
        <v>53.5</v>
      </c>
      <c r="F39" s="4"/>
      <c r="G39" s="14"/>
      <c r="H39" s="14"/>
      <c r="I39" s="14"/>
      <c r="J39" s="15">
        <f>IF(D39="","",D39)</f>
        <v>53.5</v>
      </c>
      <c r="K39" s="14" t="s">
        <v>139</v>
      </c>
      <c r="L39" s="14" t="s">
        <v>148</v>
      </c>
      <c r="M39" s="18" t="s">
        <v>144</v>
      </c>
      <c r="N39" s="14" t="s">
        <v>143</v>
      </c>
    </row>
    <row r="40" spans="1:14" ht="24">
      <c r="A40" s="4" t="s">
        <v>119</v>
      </c>
      <c r="B40" s="13">
        <v>2019</v>
      </c>
      <c r="C40" s="4" t="s">
        <v>145</v>
      </c>
      <c r="D40" s="15">
        <f>IF('Dados brutos atualizados'!E40="","",'Dados brutos atualizados'!E40)</f>
        <v>446.762</v>
      </c>
      <c r="E40" s="15">
        <f>IF(D40="","",D40*'Dados brutos atualizados'!G40)</f>
        <v>446.762</v>
      </c>
      <c r="F40" s="4"/>
      <c r="G40" s="14"/>
      <c r="H40" s="14"/>
      <c r="I40" s="14"/>
      <c r="J40" s="15">
        <f>IF(D40="","",D40)</f>
        <v>446.762</v>
      </c>
      <c r="K40" s="14" t="s">
        <v>146</v>
      </c>
      <c r="L40" s="14" t="s">
        <v>148</v>
      </c>
      <c r="M40" s="18" t="s">
        <v>150</v>
      </c>
      <c r="N40" s="14" t="s">
        <v>149</v>
      </c>
    </row>
    <row r="41" spans="1:14" ht="24">
      <c r="A41" s="4" t="s">
        <v>119</v>
      </c>
      <c r="B41" s="13">
        <v>2019</v>
      </c>
      <c r="C41" s="4" t="s">
        <v>151</v>
      </c>
      <c r="D41" s="15">
        <f>IF('Dados brutos atualizados'!E41="","",'Dados brutos atualizados'!E41)</f>
        <v>-2</v>
      </c>
      <c r="E41" s="15">
        <f>IF(D41="","",D41*'Dados brutos atualizados'!G41)</f>
        <v>-2</v>
      </c>
      <c r="F41" s="4"/>
      <c r="G41" s="14"/>
      <c r="H41" s="14"/>
      <c r="I41" s="14"/>
      <c r="J41" s="15">
        <f>IF(D41="","",D41)</f>
        <v>-2</v>
      </c>
      <c r="K41" s="14" t="s">
        <v>139</v>
      </c>
      <c r="L41" s="14" t="s">
        <v>148</v>
      </c>
      <c r="M41" s="18" t="s">
        <v>154</v>
      </c>
      <c r="N41" s="14" t="s">
        <v>153</v>
      </c>
    </row>
    <row r="42" spans="1:14" ht="24">
      <c r="A42" s="4" t="s">
        <v>119</v>
      </c>
      <c r="B42" s="13">
        <v>2019</v>
      </c>
      <c r="C42" s="4" t="s">
        <v>155</v>
      </c>
      <c r="D42" s="15">
        <f>IF('Dados brutos atualizados'!E42="","",'Dados brutos atualizados'!E42)</f>
        <v>38.129057624396999</v>
      </c>
      <c r="E42" s="15">
        <f>IF(D42="","",D42*'Dados brutos atualizados'!G42)</f>
        <v>38.129057624396999</v>
      </c>
      <c r="F42" s="4"/>
      <c r="G42" s="14"/>
      <c r="H42" s="14"/>
      <c r="I42" s="14"/>
      <c r="J42" s="15">
        <f>IF(D42="","",D42)</f>
        <v>38.129057624396999</v>
      </c>
      <c r="K42" s="14" t="s">
        <v>156</v>
      </c>
      <c r="L42" s="14" t="s">
        <v>159</v>
      </c>
      <c r="M42" s="18" t="s">
        <v>161</v>
      </c>
      <c r="N42" s="14" t="s">
        <v>160</v>
      </c>
    </row>
    <row r="43" spans="1:14" ht="24">
      <c r="A43" s="4" t="s">
        <v>119</v>
      </c>
      <c r="B43" s="13">
        <v>2019</v>
      </c>
      <c r="C43" s="4" t="s">
        <v>162</v>
      </c>
      <c r="D43" s="15">
        <f>IF('Dados brutos atualizados'!E43="","",'Dados brutos atualizados'!E43)</f>
        <v>89.8</v>
      </c>
      <c r="E43" s="15">
        <f>IF(D43="","",D43*'Dados brutos atualizados'!G43)</f>
        <v>89.8</v>
      </c>
      <c r="F43" s="4"/>
      <c r="G43" s="14"/>
      <c r="H43" s="14"/>
      <c r="I43" s="14"/>
      <c r="J43" s="15">
        <f>IF(D43="","",D43)</f>
        <v>89.8</v>
      </c>
      <c r="K43" s="14" t="s">
        <v>163</v>
      </c>
      <c r="L43" s="14" t="s">
        <v>148</v>
      </c>
      <c r="M43" s="18" t="s">
        <v>166</v>
      </c>
      <c r="N43" s="14" t="s">
        <v>165</v>
      </c>
    </row>
    <row r="44" spans="1:14" ht="24">
      <c r="A44" s="4" t="s">
        <v>119</v>
      </c>
      <c r="B44" s="13">
        <v>2019</v>
      </c>
      <c r="C44" s="4" t="s">
        <v>167</v>
      </c>
      <c r="D44" s="15" t="str">
        <f>IF('Dados brutos atualizados'!E44="","",'Dados brutos atualizados'!E44)</f>
        <v/>
      </c>
      <c r="E44" s="15" t="str">
        <f>IF(D44="","",D44*'Dados brutos atualizados'!G44)</f>
        <v/>
      </c>
      <c r="F44" s="17" t="str">
        <f>IF(E44="","",Deflatores!E17)</f>
        <v/>
      </c>
      <c r="G44" s="15" t="str">
        <f>IF(OR(E44="",F44=""),"",E44*F44)</f>
        <v/>
      </c>
      <c r="H44" s="15">
        <f>IF('Dados tratados'!E46="","",'Dados tratados'!E46)</f>
        <v>44939000</v>
      </c>
      <c r="I44" s="15" t="str">
        <f>IF(OR(G44="",H44="",H44=0),"",G44/H44)</f>
        <v/>
      </c>
      <c r="J44" s="14"/>
      <c r="K44" s="14" t="s">
        <v>168</v>
      </c>
      <c r="L44" s="14" t="s">
        <v>171</v>
      </c>
      <c r="M44" s="18" t="s">
        <v>173</v>
      </c>
      <c r="N44" s="14" t="s">
        <v>172</v>
      </c>
    </row>
    <row r="45" spans="1:14" ht="24">
      <c r="A45" s="4" t="s">
        <v>119</v>
      </c>
      <c r="B45" s="13">
        <v>2019</v>
      </c>
      <c r="C45" s="4" t="s">
        <v>174</v>
      </c>
      <c r="D45" s="15">
        <f>IF('Dados brutos atualizados'!E45="","",'Dados brutos atualizados'!E45)</f>
        <v>-4.4447575128894004</v>
      </c>
      <c r="E45" s="15">
        <f>IF(D45="","",D45*'Dados brutos atualizados'!G45)</f>
        <v>-4.4447575128894004</v>
      </c>
      <c r="F45" s="4"/>
      <c r="G45" s="14"/>
      <c r="H45" s="14"/>
      <c r="I45" s="14"/>
      <c r="J45" s="15">
        <f>IF(D45="","",D45)</f>
        <v>-4.4447575128894004</v>
      </c>
      <c r="K45" s="14" t="s">
        <v>156</v>
      </c>
      <c r="L45" s="14" t="s">
        <v>148</v>
      </c>
      <c r="M45" s="18" t="s">
        <v>178</v>
      </c>
      <c r="N45" s="14" t="s">
        <v>177</v>
      </c>
    </row>
    <row r="46" spans="1:14" ht="24">
      <c r="A46" s="4" t="s">
        <v>119</v>
      </c>
      <c r="B46" s="13">
        <v>2019</v>
      </c>
      <c r="C46" s="4" t="s">
        <v>179</v>
      </c>
      <c r="D46" s="15">
        <f>IF('Dados brutos atualizados'!E46="","",'Dados brutos atualizados'!E46)</f>
        <v>44.939</v>
      </c>
      <c r="E46" s="15">
        <f>IF(D46="","",D46*'Dados brutos atualizados'!G46)</f>
        <v>44939000</v>
      </c>
      <c r="F46" s="4"/>
      <c r="G46" s="14"/>
      <c r="H46" s="14"/>
      <c r="I46" s="14"/>
      <c r="J46" s="15">
        <f>IF(D46="","",D46)</f>
        <v>44.939</v>
      </c>
      <c r="K46" s="14" t="s">
        <v>180</v>
      </c>
      <c r="L46" s="14" t="s">
        <v>148</v>
      </c>
      <c r="M46" s="18" t="s">
        <v>183</v>
      </c>
      <c r="N46" s="14" t="s">
        <v>182</v>
      </c>
    </row>
    <row r="47" spans="1:14" ht="36">
      <c r="A47" s="4" t="s">
        <v>119</v>
      </c>
      <c r="B47" s="13">
        <v>2019</v>
      </c>
      <c r="C47" s="4" t="s">
        <v>184</v>
      </c>
      <c r="D47" s="15">
        <f>IF('Dados brutos atualizados'!E47="","",'Dados brutos atualizados'!E47)</f>
        <v>2754645.57410804</v>
      </c>
      <c r="E47" s="14"/>
      <c r="F47" s="4"/>
      <c r="G47" s="14"/>
      <c r="H47" s="14"/>
      <c r="I47" s="14"/>
      <c r="J47" s="15">
        <f>IF(D47="","",D47)</f>
        <v>2754645.57410804</v>
      </c>
      <c r="K47" s="14" t="s">
        <v>185</v>
      </c>
      <c r="L47" s="14" t="s">
        <v>188</v>
      </c>
      <c r="M47" s="18" t="s">
        <v>190</v>
      </c>
      <c r="N47" s="14" t="s">
        <v>189</v>
      </c>
    </row>
    <row r="48" spans="1:14" ht="24">
      <c r="A48" s="4" t="s">
        <v>119</v>
      </c>
      <c r="B48" s="13">
        <v>2019</v>
      </c>
      <c r="C48" s="4" t="s">
        <v>191</v>
      </c>
      <c r="D48" s="15" t="str">
        <f>IF('Dados brutos atualizados'!E48="","",'Dados brutos atualizados'!E48)</f>
        <v/>
      </c>
      <c r="E48" s="15" t="str">
        <f>IF(D48="","",D48*'Dados brutos atualizados'!G48)</f>
        <v/>
      </c>
      <c r="F48" s="17" t="str">
        <f>IF(E48="","",Deflatores!E17)</f>
        <v/>
      </c>
      <c r="G48" s="15" t="str">
        <f>IF(OR(E48="",F48=""),"",E48*F48)</f>
        <v/>
      </c>
      <c r="H48" s="15">
        <f>IF('Dados tratados'!E46="","",'Dados tratados'!E46)</f>
        <v>44939000</v>
      </c>
      <c r="I48" s="15" t="str">
        <f>IF(OR(G48="",H48="",H48=0),"",G48/H48)</f>
        <v/>
      </c>
      <c r="J48" s="14"/>
      <c r="K48" s="14" t="s">
        <v>168</v>
      </c>
      <c r="L48" s="14" t="s">
        <v>171</v>
      </c>
      <c r="M48" s="18" t="s">
        <v>173</v>
      </c>
      <c r="N48" s="14" t="s">
        <v>172</v>
      </c>
    </row>
    <row r="49" spans="1:14" ht="24">
      <c r="A49" s="4" t="s">
        <v>119</v>
      </c>
      <c r="B49" s="13">
        <v>2019</v>
      </c>
      <c r="C49" s="4" t="s">
        <v>192</v>
      </c>
      <c r="D49" s="15" t="str">
        <f>IF('Dados brutos atualizados'!E49="","",'Dados brutos atualizados'!E49)</f>
        <v/>
      </c>
      <c r="E49" s="15" t="str">
        <f>IF(D49="","",D49*'Dados brutos atualizados'!G49)</f>
        <v/>
      </c>
      <c r="F49" s="17" t="str">
        <f>IF(E49="","",Deflatores!E17)</f>
        <v/>
      </c>
      <c r="G49" s="15" t="str">
        <f>IF(OR(E49="",F49=""),"",E49*F49)</f>
        <v/>
      </c>
      <c r="H49" s="15">
        <f>IF('Dados tratados'!E46="","",'Dados tratados'!E46)</f>
        <v>44939000</v>
      </c>
      <c r="I49" s="15" t="str">
        <f>IF(OR(G49="",H49="",H49=0),"",G49/H49)</f>
        <v/>
      </c>
      <c r="J49" s="14"/>
      <c r="K49" s="14" t="s">
        <v>168</v>
      </c>
      <c r="L49" s="14" t="s">
        <v>171</v>
      </c>
      <c r="M49" s="18" t="s">
        <v>173</v>
      </c>
      <c r="N49" s="14" t="s">
        <v>172</v>
      </c>
    </row>
    <row r="50" spans="1:14" ht="24">
      <c r="A50" s="4" t="s">
        <v>119</v>
      </c>
      <c r="B50" s="13">
        <v>2020</v>
      </c>
      <c r="C50" s="4" t="s">
        <v>131</v>
      </c>
      <c r="D50" s="15">
        <f>IF('Dados brutos atualizados'!E50="","",'Dados brutos atualizados'!E50)</f>
        <v>7237410240.2802601</v>
      </c>
      <c r="E50" s="15">
        <f>IF(D50="","",D50*'Dados brutos atualizados'!G50)</f>
        <v>7237410240280.2598</v>
      </c>
      <c r="F50" s="17">
        <f>IF(E50="","",Deflatores!E18)</f>
        <v>27.11781432945816</v>
      </c>
      <c r="G50" s="15">
        <f>IF(OR(E50="",F50=""),"",E50*F50)</f>
        <v>196262747122039.25</v>
      </c>
      <c r="H50" s="15">
        <f>IF('Dados tratados'!E58="","",'Dados tratados'!E58)</f>
        <v>45377000</v>
      </c>
      <c r="I50" s="15">
        <f>IF(OR(G50="",H50="",H50=0),"",G50/H50)</f>
        <v>4325159.1582087679</v>
      </c>
      <c r="J50" s="14"/>
      <c r="K50" s="14" t="s">
        <v>132</v>
      </c>
      <c r="L50" s="14" t="s">
        <v>135</v>
      </c>
      <c r="M50" s="18" t="s">
        <v>204</v>
      </c>
      <c r="N50" s="14" t="s">
        <v>136</v>
      </c>
    </row>
    <row r="51" spans="1:14" ht="24">
      <c r="A51" s="4" t="s">
        <v>119</v>
      </c>
      <c r="B51" s="13">
        <v>2020</v>
      </c>
      <c r="C51" s="4" t="s">
        <v>138</v>
      </c>
      <c r="D51" s="15">
        <f>IF('Dados brutos atualizados'!E51="","",'Dados brutos atualizados'!E51)</f>
        <v>42</v>
      </c>
      <c r="E51" s="15">
        <f>IF(D51="","",D51*'Dados brutos atualizados'!G51)</f>
        <v>42</v>
      </c>
      <c r="F51" s="4"/>
      <c r="G51" s="14"/>
      <c r="H51" s="14"/>
      <c r="I51" s="14"/>
      <c r="J51" s="15">
        <f>IF(D51="","",D51)</f>
        <v>42</v>
      </c>
      <c r="K51" s="14" t="s">
        <v>139</v>
      </c>
      <c r="L51" s="14" t="s">
        <v>148</v>
      </c>
      <c r="M51" s="18" t="s">
        <v>144</v>
      </c>
      <c r="N51" s="14" t="s">
        <v>143</v>
      </c>
    </row>
    <row r="52" spans="1:14" ht="24">
      <c r="A52" s="4" t="s">
        <v>119</v>
      </c>
      <c r="B52" s="13">
        <v>2020</v>
      </c>
      <c r="C52" s="4" t="s">
        <v>145</v>
      </c>
      <c r="D52" s="15">
        <f>IF('Dados brutos atualizados'!E52="","",'Dados brutos atualizados'!E52)</f>
        <v>385.21800000000002</v>
      </c>
      <c r="E52" s="15">
        <f>IF(D52="","",D52*'Dados brutos atualizados'!G52)</f>
        <v>385.21800000000002</v>
      </c>
      <c r="F52" s="4"/>
      <c r="G52" s="14"/>
      <c r="H52" s="14"/>
      <c r="I52" s="14"/>
      <c r="J52" s="15">
        <f>IF(D52="","",D52)</f>
        <v>385.21800000000002</v>
      </c>
      <c r="K52" s="14" t="s">
        <v>146</v>
      </c>
      <c r="L52" s="14" t="s">
        <v>148</v>
      </c>
      <c r="M52" s="18" t="s">
        <v>150</v>
      </c>
      <c r="N52" s="14" t="s">
        <v>149</v>
      </c>
    </row>
    <row r="53" spans="1:14" ht="24">
      <c r="A53" s="4" t="s">
        <v>119</v>
      </c>
      <c r="B53" s="13">
        <v>2020</v>
      </c>
      <c r="C53" s="4" t="s">
        <v>151</v>
      </c>
      <c r="D53" s="15">
        <f>IF('Dados brutos atualizados'!E53="","",'Dados brutos atualizados'!E53)</f>
        <v>-9.9</v>
      </c>
      <c r="E53" s="15">
        <f>IF(D53="","",D53*'Dados brutos atualizados'!G53)</f>
        <v>-9.9</v>
      </c>
      <c r="F53" s="4"/>
      <c r="G53" s="14"/>
      <c r="H53" s="14"/>
      <c r="I53" s="14"/>
      <c r="J53" s="15">
        <f>IF(D53="","",D53)</f>
        <v>-9.9</v>
      </c>
      <c r="K53" s="14" t="s">
        <v>139</v>
      </c>
      <c r="L53" s="14" t="s">
        <v>148</v>
      </c>
      <c r="M53" s="18" t="s">
        <v>154</v>
      </c>
      <c r="N53" s="14" t="s">
        <v>153</v>
      </c>
    </row>
    <row r="54" spans="1:14" ht="24">
      <c r="A54" s="4" t="s">
        <v>119</v>
      </c>
      <c r="B54" s="13">
        <v>2020</v>
      </c>
      <c r="C54" s="4" t="s">
        <v>155</v>
      </c>
      <c r="D54" s="15">
        <f>IF('Dados brutos atualizados'!E54="","",'Dados brutos atualizados'!E54)</f>
        <v>42.479239774996998</v>
      </c>
      <c r="E54" s="15">
        <f>IF(D54="","",D54*'Dados brutos atualizados'!G54)</f>
        <v>42.479239774996998</v>
      </c>
      <c r="F54" s="4"/>
      <c r="G54" s="14"/>
      <c r="H54" s="14"/>
      <c r="I54" s="14"/>
      <c r="J54" s="15">
        <f>IF(D54="","",D54)</f>
        <v>42.479239774996998</v>
      </c>
      <c r="K54" s="14" t="s">
        <v>156</v>
      </c>
      <c r="L54" s="14" t="s">
        <v>159</v>
      </c>
      <c r="M54" s="18" t="s">
        <v>161</v>
      </c>
      <c r="N54" s="14" t="s">
        <v>160</v>
      </c>
    </row>
    <row r="55" spans="1:14" ht="24">
      <c r="A55" s="4" t="s">
        <v>119</v>
      </c>
      <c r="B55" s="13">
        <v>2020</v>
      </c>
      <c r="C55" s="4" t="s">
        <v>162</v>
      </c>
      <c r="D55" s="15">
        <f>IF('Dados brutos atualizados'!E55="","",'Dados brutos atualizados'!E55)</f>
        <v>103.8</v>
      </c>
      <c r="E55" s="15">
        <f>IF(D55="","",D55*'Dados brutos atualizados'!G55)</f>
        <v>103.8</v>
      </c>
      <c r="F55" s="4"/>
      <c r="G55" s="14"/>
      <c r="H55" s="14"/>
      <c r="I55" s="14"/>
      <c r="J55" s="15">
        <f>IF(D55="","",D55)</f>
        <v>103.8</v>
      </c>
      <c r="K55" s="14" t="s">
        <v>163</v>
      </c>
      <c r="L55" s="14" t="s">
        <v>148</v>
      </c>
      <c r="M55" s="18" t="s">
        <v>166</v>
      </c>
      <c r="N55" s="14" t="s">
        <v>165</v>
      </c>
    </row>
    <row r="56" spans="1:14" ht="24">
      <c r="A56" s="4" t="s">
        <v>119</v>
      </c>
      <c r="B56" s="13">
        <v>2020</v>
      </c>
      <c r="C56" s="4" t="s">
        <v>167</v>
      </c>
      <c r="D56" s="15" t="str">
        <f>IF('Dados brutos atualizados'!E56="","",'Dados brutos atualizados'!E56)</f>
        <v/>
      </c>
      <c r="E56" s="15" t="str">
        <f>IF(D56="","",D56*'Dados brutos atualizados'!G56)</f>
        <v/>
      </c>
      <c r="F56" s="17" t="str">
        <f>IF(E56="","",Deflatores!E18)</f>
        <v/>
      </c>
      <c r="G56" s="15" t="str">
        <f>IF(OR(E56="",F56=""),"",E56*F56)</f>
        <v/>
      </c>
      <c r="H56" s="15">
        <f>IF('Dados tratados'!E58="","",'Dados tratados'!E58)</f>
        <v>45377000</v>
      </c>
      <c r="I56" s="15" t="str">
        <f>IF(OR(G56="",H56="",H56=0),"",G56/H56)</f>
        <v/>
      </c>
      <c r="J56" s="14"/>
      <c r="K56" s="14" t="s">
        <v>168</v>
      </c>
      <c r="L56" s="14" t="s">
        <v>171</v>
      </c>
      <c r="M56" s="18" t="s">
        <v>173</v>
      </c>
      <c r="N56" s="14" t="s">
        <v>172</v>
      </c>
    </row>
    <row r="57" spans="1:14" ht="24">
      <c r="A57" s="4" t="s">
        <v>119</v>
      </c>
      <c r="B57" s="13">
        <v>2020</v>
      </c>
      <c r="C57" s="4" t="s">
        <v>174</v>
      </c>
      <c r="D57" s="15">
        <f>IF('Dados brutos atualizados'!E57="","",'Dados brutos atualizados'!E57)</f>
        <v>-8.6740711539257997</v>
      </c>
      <c r="E57" s="15">
        <f>IF(D57="","",D57*'Dados brutos atualizados'!G57)</f>
        <v>-8.6740711539257997</v>
      </c>
      <c r="F57" s="4"/>
      <c r="G57" s="14"/>
      <c r="H57" s="14"/>
      <c r="I57" s="14"/>
      <c r="J57" s="15">
        <f>IF(D57="","",D57)</f>
        <v>-8.6740711539257997</v>
      </c>
      <c r="K57" s="14" t="s">
        <v>156</v>
      </c>
      <c r="L57" s="14" t="s">
        <v>148</v>
      </c>
      <c r="M57" s="18" t="s">
        <v>178</v>
      </c>
      <c r="N57" s="14" t="s">
        <v>177</v>
      </c>
    </row>
    <row r="58" spans="1:14" ht="24">
      <c r="A58" s="4" t="s">
        <v>119</v>
      </c>
      <c r="B58" s="13">
        <v>2020</v>
      </c>
      <c r="C58" s="4" t="s">
        <v>179</v>
      </c>
      <c r="D58" s="15">
        <f>IF('Dados brutos atualizados'!E58="","",'Dados brutos atualizados'!E58)</f>
        <v>45.377000000000002</v>
      </c>
      <c r="E58" s="15">
        <f>IF(D58="","",D58*'Dados brutos atualizados'!G58)</f>
        <v>45377000</v>
      </c>
      <c r="F58" s="4"/>
      <c r="G58" s="14"/>
      <c r="H58" s="14"/>
      <c r="I58" s="14"/>
      <c r="J58" s="15">
        <f>IF(D58="","",D58)</f>
        <v>45.377000000000002</v>
      </c>
      <c r="K58" s="14" t="s">
        <v>180</v>
      </c>
      <c r="L58" s="14" t="s">
        <v>148</v>
      </c>
      <c r="M58" s="18" t="s">
        <v>183</v>
      </c>
      <c r="N58" s="14" t="s">
        <v>182</v>
      </c>
    </row>
    <row r="59" spans="1:14" ht="36">
      <c r="A59" s="4" t="s">
        <v>119</v>
      </c>
      <c r="B59" s="13">
        <v>2020</v>
      </c>
      <c r="C59" s="4" t="s">
        <v>184</v>
      </c>
      <c r="D59" s="15">
        <f>IF('Dados brutos atualizados'!E59="","",'Dados brutos atualizados'!E59)</f>
        <v>3742115.7009005002</v>
      </c>
      <c r="E59" s="14"/>
      <c r="F59" s="4"/>
      <c r="G59" s="14"/>
      <c r="H59" s="14"/>
      <c r="I59" s="14"/>
      <c r="J59" s="15">
        <f>IF(D59="","",D59)</f>
        <v>3742115.7009005002</v>
      </c>
      <c r="K59" s="14" t="s">
        <v>185</v>
      </c>
      <c r="L59" s="14" t="s">
        <v>188</v>
      </c>
      <c r="M59" s="18" t="s">
        <v>190</v>
      </c>
      <c r="N59" s="14" t="s">
        <v>189</v>
      </c>
    </row>
    <row r="60" spans="1:14" ht="24">
      <c r="A60" s="4" t="s">
        <v>119</v>
      </c>
      <c r="B60" s="13">
        <v>2020</v>
      </c>
      <c r="C60" s="4" t="s">
        <v>191</v>
      </c>
      <c r="D60" s="15" t="str">
        <f>IF('Dados brutos atualizados'!E60="","",'Dados brutos atualizados'!E60)</f>
        <v/>
      </c>
      <c r="E60" s="15" t="str">
        <f>IF(D60="","",D60*'Dados brutos atualizados'!G60)</f>
        <v/>
      </c>
      <c r="F60" s="17" t="str">
        <f>IF(E60="","",Deflatores!E18)</f>
        <v/>
      </c>
      <c r="G60" s="15" t="str">
        <f>IF(OR(E60="",F60=""),"",E60*F60)</f>
        <v/>
      </c>
      <c r="H60" s="15">
        <f>IF('Dados tratados'!E58="","",'Dados tratados'!E58)</f>
        <v>45377000</v>
      </c>
      <c r="I60" s="15" t="str">
        <f>IF(OR(G60="",H60="",H60=0),"",G60/H60)</f>
        <v/>
      </c>
      <c r="J60" s="14"/>
      <c r="K60" s="14" t="s">
        <v>168</v>
      </c>
      <c r="L60" s="14" t="s">
        <v>171</v>
      </c>
      <c r="M60" s="18" t="s">
        <v>173</v>
      </c>
      <c r="N60" s="14" t="s">
        <v>172</v>
      </c>
    </row>
    <row r="61" spans="1:14" ht="24">
      <c r="A61" s="4" t="s">
        <v>119</v>
      </c>
      <c r="B61" s="13">
        <v>2020</v>
      </c>
      <c r="C61" s="4" t="s">
        <v>192</v>
      </c>
      <c r="D61" s="15" t="str">
        <f>IF('Dados brutos atualizados'!E61="","",'Dados brutos atualizados'!E61)</f>
        <v/>
      </c>
      <c r="E61" s="15" t="str">
        <f>IF(D61="","",D61*'Dados brutos atualizados'!G61)</f>
        <v/>
      </c>
      <c r="F61" s="17" t="str">
        <f>IF(E61="","",Deflatores!E18)</f>
        <v/>
      </c>
      <c r="G61" s="15" t="str">
        <f>IF(OR(E61="",F61=""),"",E61*F61)</f>
        <v/>
      </c>
      <c r="H61" s="15">
        <f>IF('Dados tratados'!E58="","",'Dados tratados'!E58)</f>
        <v>45377000</v>
      </c>
      <c r="I61" s="15" t="str">
        <f>IF(OR(G61="",H61="",H61=0),"",G61/H61)</f>
        <v/>
      </c>
      <c r="J61" s="14"/>
      <c r="K61" s="14" t="s">
        <v>168</v>
      </c>
      <c r="L61" s="14" t="s">
        <v>171</v>
      </c>
      <c r="M61" s="18" t="s">
        <v>173</v>
      </c>
      <c r="N61" s="14" t="s">
        <v>172</v>
      </c>
    </row>
    <row r="62" spans="1:14" ht="24">
      <c r="A62" s="4" t="s">
        <v>119</v>
      </c>
      <c r="B62" s="13">
        <v>2021</v>
      </c>
      <c r="C62" s="4" t="s">
        <v>131</v>
      </c>
      <c r="D62" s="15">
        <f>IF('Dados brutos atualizados'!E62="","",'Dados brutos atualizados'!E62)</f>
        <v>11906730.771054</v>
      </c>
      <c r="E62" s="15">
        <f>IF(D62="","",D62*'Dados brutos atualizados'!G62)</f>
        <v>11906730771054</v>
      </c>
      <c r="F62" s="17">
        <f>IF(E62="","",Deflatores!E19)</f>
        <v>18.273459790740002</v>
      </c>
      <c r="G62" s="15">
        <f>IF(OR(E62="",F62=""),"",E62*F62)</f>
        <v>217577165984021.97</v>
      </c>
      <c r="H62" s="15">
        <f>IF('Dados tratados'!E70="","",'Dados tratados'!E70)</f>
        <v>45809000</v>
      </c>
      <c r="I62" s="15">
        <f>IF(OR(G62="",H62="",H62=0),"",G62/H62)</f>
        <v>4749659.8044930464</v>
      </c>
      <c r="J62" s="14"/>
      <c r="K62" s="14" t="s">
        <v>168</v>
      </c>
      <c r="L62" s="14" t="s">
        <v>135</v>
      </c>
      <c r="M62" s="18" t="s">
        <v>208</v>
      </c>
      <c r="N62" s="14" t="s">
        <v>136</v>
      </c>
    </row>
    <row r="63" spans="1:14" ht="24">
      <c r="A63" s="4" t="s">
        <v>119</v>
      </c>
      <c r="B63" s="13">
        <v>2021</v>
      </c>
      <c r="C63" s="4" t="s">
        <v>138</v>
      </c>
      <c r="D63" s="15">
        <f>IF('Dados brutos atualizados'!E63="","",'Dados brutos atualizados'!E63)</f>
        <v>48.4</v>
      </c>
      <c r="E63" s="15">
        <f>IF(D63="","",D63*'Dados brutos atualizados'!G63)</f>
        <v>48.4</v>
      </c>
      <c r="F63" s="4"/>
      <c r="G63" s="14"/>
      <c r="H63" s="14"/>
      <c r="I63" s="14"/>
      <c r="J63" s="15">
        <f>IF(D63="","",D63)</f>
        <v>48.4</v>
      </c>
      <c r="K63" s="14" t="s">
        <v>139</v>
      </c>
      <c r="L63" s="14" t="s">
        <v>148</v>
      </c>
      <c r="M63" s="18" t="s">
        <v>144</v>
      </c>
      <c r="N63" s="14" t="s">
        <v>143</v>
      </c>
    </row>
    <row r="64" spans="1:14" ht="24">
      <c r="A64" s="4" t="s">
        <v>119</v>
      </c>
      <c r="B64" s="13">
        <v>2021</v>
      </c>
      <c r="C64" s="4" t="s">
        <v>145</v>
      </c>
      <c r="D64" s="15">
        <f>IF('Dados brutos atualizados'!E64="","",'Dados brutos atualizados'!E64)</f>
        <v>486.04</v>
      </c>
      <c r="E64" s="15">
        <f>IF(D64="","",D64*'Dados brutos atualizados'!G64)</f>
        <v>486.04</v>
      </c>
      <c r="F64" s="4"/>
      <c r="G64" s="14"/>
      <c r="H64" s="14"/>
      <c r="I64" s="14"/>
      <c r="J64" s="15">
        <f>IF(D64="","",D64)</f>
        <v>486.04</v>
      </c>
      <c r="K64" s="14" t="s">
        <v>146</v>
      </c>
      <c r="L64" s="14" t="s">
        <v>148</v>
      </c>
      <c r="M64" s="18" t="s">
        <v>150</v>
      </c>
      <c r="N64" s="14" t="s">
        <v>149</v>
      </c>
    </row>
    <row r="65" spans="1:14" ht="24">
      <c r="A65" s="4" t="s">
        <v>119</v>
      </c>
      <c r="B65" s="13">
        <v>2021</v>
      </c>
      <c r="C65" s="4" t="s">
        <v>151</v>
      </c>
      <c r="D65" s="15">
        <f>IF('Dados brutos atualizados'!E65="","",'Dados brutos atualizados'!E65)</f>
        <v>10.4</v>
      </c>
      <c r="E65" s="15">
        <f>IF(D65="","",D65*'Dados brutos atualizados'!G65)</f>
        <v>10.4</v>
      </c>
      <c r="F65" s="4"/>
      <c r="G65" s="14"/>
      <c r="H65" s="14"/>
      <c r="I65" s="14"/>
      <c r="J65" s="15">
        <f>IF(D65="","",D65)</f>
        <v>10.4</v>
      </c>
      <c r="K65" s="14" t="s">
        <v>139</v>
      </c>
      <c r="L65" s="14" t="s">
        <v>148</v>
      </c>
      <c r="M65" s="18" t="s">
        <v>154</v>
      </c>
      <c r="N65" s="14" t="s">
        <v>153</v>
      </c>
    </row>
    <row r="66" spans="1:14" ht="24">
      <c r="A66" s="4" t="s">
        <v>119</v>
      </c>
      <c r="B66" s="13">
        <v>2021</v>
      </c>
      <c r="C66" s="4" t="s">
        <v>155</v>
      </c>
      <c r="D66" s="15">
        <f>IF('Dados brutos atualizados'!E66="","",'Dados brutos atualizados'!E66)</f>
        <v>37.883365255393002</v>
      </c>
      <c r="E66" s="15">
        <f>IF(D66="","",D66*'Dados brutos atualizados'!G66)</f>
        <v>37.883365255393002</v>
      </c>
      <c r="F66" s="4"/>
      <c r="G66" s="14"/>
      <c r="H66" s="14"/>
      <c r="I66" s="14"/>
      <c r="J66" s="15">
        <f>IF(D66="","",D66)</f>
        <v>37.883365255393002</v>
      </c>
      <c r="K66" s="14" t="s">
        <v>156</v>
      </c>
      <c r="L66" s="14" t="s">
        <v>159</v>
      </c>
      <c r="M66" s="18" t="s">
        <v>161</v>
      </c>
      <c r="N66" s="14" t="s">
        <v>160</v>
      </c>
    </row>
    <row r="67" spans="1:14" ht="24">
      <c r="A67" s="4" t="s">
        <v>119</v>
      </c>
      <c r="B67" s="13">
        <v>2021</v>
      </c>
      <c r="C67" s="4" t="s">
        <v>162</v>
      </c>
      <c r="D67" s="15">
        <f>IF('Dados brutos atualizados'!E67="","",'Dados brutos atualizados'!E67)</f>
        <v>81</v>
      </c>
      <c r="E67" s="15">
        <f>IF(D67="","",D67*'Dados brutos atualizados'!G67)</f>
        <v>81</v>
      </c>
      <c r="F67" s="4"/>
      <c r="G67" s="14"/>
      <c r="H67" s="14"/>
      <c r="I67" s="14"/>
      <c r="J67" s="15">
        <f>IF(D67="","",D67)</f>
        <v>81</v>
      </c>
      <c r="K67" s="14" t="s">
        <v>163</v>
      </c>
      <c r="L67" s="14" t="s">
        <v>148</v>
      </c>
      <c r="M67" s="18" t="s">
        <v>166</v>
      </c>
      <c r="N67" s="14" t="s">
        <v>165</v>
      </c>
    </row>
    <row r="68" spans="1:14" ht="24">
      <c r="A68" s="4" t="s">
        <v>119</v>
      </c>
      <c r="B68" s="13">
        <v>2021</v>
      </c>
      <c r="C68" s="4" t="s">
        <v>167</v>
      </c>
      <c r="D68" s="15" t="str">
        <f>IF('Dados brutos atualizados'!E68="","",'Dados brutos atualizados'!E68)</f>
        <v/>
      </c>
      <c r="E68" s="15" t="str">
        <f>IF(D68="","",D68*'Dados brutos atualizados'!G68)</f>
        <v/>
      </c>
      <c r="F68" s="17" t="str">
        <f>IF(E68="","",Deflatores!E19)</f>
        <v/>
      </c>
      <c r="G68" s="15" t="str">
        <f>IF(OR(E68="",F68=""),"",E68*F68)</f>
        <v/>
      </c>
      <c r="H68" s="15">
        <f>IF('Dados tratados'!E70="","",'Dados tratados'!E70)</f>
        <v>45809000</v>
      </c>
      <c r="I68" s="15" t="str">
        <f>IF(OR(G68="",H68="",H68=0),"",G68/H68)</f>
        <v/>
      </c>
      <c r="J68" s="14"/>
      <c r="K68" s="14" t="s">
        <v>168</v>
      </c>
      <c r="L68" s="14" t="s">
        <v>171</v>
      </c>
      <c r="M68" s="18" t="s">
        <v>173</v>
      </c>
      <c r="N68" s="14" t="s">
        <v>172</v>
      </c>
    </row>
    <row r="69" spans="1:14" ht="24">
      <c r="A69" s="4" t="s">
        <v>119</v>
      </c>
      <c r="B69" s="13">
        <v>2021</v>
      </c>
      <c r="C69" s="4" t="s">
        <v>174</v>
      </c>
      <c r="D69" s="15">
        <f>IF('Dados brutos atualizados'!E69="","",'Dados brutos atualizados'!E69)</f>
        <v>-4.3329520225764</v>
      </c>
      <c r="E69" s="15">
        <f>IF(D69="","",D69*'Dados brutos atualizados'!G69)</f>
        <v>-4.3329520225764</v>
      </c>
      <c r="F69" s="4"/>
      <c r="G69" s="14"/>
      <c r="H69" s="14"/>
      <c r="I69" s="14"/>
      <c r="J69" s="15">
        <f>IF(D69="","",D69)</f>
        <v>-4.3329520225764</v>
      </c>
      <c r="K69" s="14" t="s">
        <v>156</v>
      </c>
      <c r="L69" s="14" t="s">
        <v>148</v>
      </c>
      <c r="M69" s="18" t="s">
        <v>178</v>
      </c>
      <c r="N69" s="14" t="s">
        <v>177</v>
      </c>
    </row>
    <row r="70" spans="1:14" ht="24">
      <c r="A70" s="4" t="s">
        <v>119</v>
      </c>
      <c r="B70" s="13">
        <v>2021</v>
      </c>
      <c r="C70" s="4" t="s">
        <v>179</v>
      </c>
      <c r="D70" s="15">
        <f>IF('Dados brutos atualizados'!E70="","",'Dados brutos atualizados'!E70)</f>
        <v>45.808999999999997</v>
      </c>
      <c r="E70" s="15">
        <f>IF(D70="","",D70*'Dados brutos atualizados'!G70)</f>
        <v>45809000</v>
      </c>
      <c r="F70" s="4"/>
      <c r="G70" s="14"/>
      <c r="H70" s="14"/>
      <c r="I70" s="14"/>
      <c r="J70" s="15">
        <f>IF(D70="","",D70)</f>
        <v>45.808999999999997</v>
      </c>
      <c r="K70" s="14" t="s">
        <v>180</v>
      </c>
      <c r="L70" s="14" t="s">
        <v>148</v>
      </c>
      <c r="M70" s="18" t="s">
        <v>183</v>
      </c>
      <c r="N70" s="14" t="s">
        <v>182</v>
      </c>
    </row>
    <row r="71" spans="1:14" ht="36">
      <c r="A71" s="4" t="s">
        <v>119</v>
      </c>
      <c r="B71" s="13">
        <v>2021</v>
      </c>
      <c r="C71" s="4" t="s">
        <v>184</v>
      </c>
      <c r="D71" s="15">
        <f>IF('Dados brutos atualizados'!E71="","",'Dados brutos atualizados'!E71)</f>
        <v>6116121.6969644697</v>
      </c>
      <c r="E71" s="14"/>
      <c r="F71" s="4"/>
      <c r="G71" s="14"/>
      <c r="H71" s="14"/>
      <c r="I71" s="14"/>
      <c r="J71" s="15">
        <f>IF(D71="","",D71)</f>
        <v>6116121.6969644697</v>
      </c>
      <c r="K71" s="14" t="s">
        <v>185</v>
      </c>
      <c r="L71" s="14" t="s">
        <v>188</v>
      </c>
      <c r="M71" s="18" t="s">
        <v>190</v>
      </c>
      <c r="N71" s="14" t="s">
        <v>189</v>
      </c>
    </row>
    <row r="72" spans="1:14" ht="24">
      <c r="A72" s="4" t="s">
        <v>119</v>
      </c>
      <c r="B72" s="13">
        <v>2021</v>
      </c>
      <c r="C72" s="4" t="s">
        <v>191</v>
      </c>
      <c r="D72" s="15" t="str">
        <f>IF('Dados brutos atualizados'!E72="","",'Dados brutos atualizados'!E72)</f>
        <v/>
      </c>
      <c r="E72" s="15" t="str">
        <f>IF(D72="","",D72*'Dados brutos atualizados'!G72)</f>
        <v/>
      </c>
      <c r="F72" s="17" t="str">
        <f>IF(E72="","",Deflatores!E19)</f>
        <v/>
      </c>
      <c r="G72" s="15" t="str">
        <f>IF(OR(E72="",F72=""),"",E72*F72)</f>
        <v/>
      </c>
      <c r="H72" s="15">
        <f>IF('Dados tratados'!E70="","",'Dados tratados'!E70)</f>
        <v>45809000</v>
      </c>
      <c r="I72" s="15" t="str">
        <f>IF(OR(G72="",H72="",H72=0),"",G72/H72)</f>
        <v/>
      </c>
      <c r="J72" s="14"/>
      <c r="K72" s="14" t="s">
        <v>168</v>
      </c>
      <c r="L72" s="14" t="s">
        <v>171</v>
      </c>
      <c r="M72" s="18" t="s">
        <v>173</v>
      </c>
      <c r="N72" s="14" t="s">
        <v>172</v>
      </c>
    </row>
    <row r="73" spans="1:14" ht="24">
      <c r="A73" s="4" t="s">
        <v>119</v>
      </c>
      <c r="B73" s="13">
        <v>2021</v>
      </c>
      <c r="C73" s="4" t="s">
        <v>192</v>
      </c>
      <c r="D73" s="15" t="str">
        <f>IF('Dados brutos atualizados'!E73="","",'Dados brutos atualizados'!E73)</f>
        <v/>
      </c>
      <c r="E73" s="15" t="str">
        <f>IF(D73="","",D73*'Dados brutos atualizados'!G73)</f>
        <v/>
      </c>
      <c r="F73" s="17" t="str">
        <f>IF(E73="","",Deflatores!E19)</f>
        <v/>
      </c>
      <c r="G73" s="15" t="str">
        <f>IF(OR(E73="",F73=""),"",E73*F73)</f>
        <v/>
      </c>
      <c r="H73" s="15">
        <f>IF('Dados tratados'!E70="","",'Dados tratados'!E70)</f>
        <v>45809000</v>
      </c>
      <c r="I73" s="15" t="str">
        <f>IF(OR(G73="",H73="",H73=0),"",G73/H73)</f>
        <v/>
      </c>
      <c r="J73" s="14"/>
      <c r="K73" s="14" t="s">
        <v>168</v>
      </c>
      <c r="L73" s="14" t="s">
        <v>171</v>
      </c>
      <c r="M73" s="18" t="s">
        <v>173</v>
      </c>
      <c r="N73" s="14" t="s">
        <v>172</v>
      </c>
    </row>
    <row r="74" spans="1:14" ht="24">
      <c r="A74" s="4" t="s">
        <v>119</v>
      </c>
      <c r="B74" s="13">
        <v>2022</v>
      </c>
      <c r="C74" s="4" t="s">
        <v>131</v>
      </c>
      <c r="D74" s="15">
        <f>IF('Dados brutos atualizados'!E74="","",'Dados brutos atualizados'!E74)</f>
        <v>21540626.2493622</v>
      </c>
      <c r="E74" s="15">
        <f>IF(D74="","",D74*'Dados brutos atualizados'!G74)</f>
        <v>21540626249362.199</v>
      </c>
      <c r="F74" s="17">
        <f>IF(E74="","",Deflatores!E20)</f>
        <v>10.599454634999999</v>
      </c>
      <c r="G74" s="15">
        <f>IF(OR(E74="",F74=""),"",E74*F74)</f>
        <v>228318890739604.81</v>
      </c>
      <c r="H74" s="15">
        <f>IF('Dados tratados'!E82="","",'Dados tratados'!E82)</f>
        <v>46235000</v>
      </c>
      <c r="I74" s="15">
        <f>IF(OR(G74="",H74="",H74=0),"",G74/H74)</f>
        <v>4938226.2515324932</v>
      </c>
      <c r="J74" s="14"/>
      <c r="K74" s="14" t="s">
        <v>168</v>
      </c>
      <c r="L74" s="14" t="s">
        <v>135</v>
      </c>
      <c r="M74" s="18" t="s">
        <v>211</v>
      </c>
      <c r="N74" s="14" t="s">
        <v>136</v>
      </c>
    </row>
    <row r="75" spans="1:14" ht="24">
      <c r="A75" s="4" t="s">
        <v>119</v>
      </c>
      <c r="B75" s="13">
        <v>2022</v>
      </c>
      <c r="C75" s="4" t="s">
        <v>138</v>
      </c>
      <c r="D75" s="15">
        <f>IF('Dados brutos atualizados'!E75="","",'Dados brutos atualizados'!E75)</f>
        <v>72.400000000000006</v>
      </c>
      <c r="E75" s="15">
        <f>IF(D75="","",D75*'Dados brutos atualizados'!G75)</f>
        <v>72.400000000000006</v>
      </c>
      <c r="F75" s="4"/>
      <c r="G75" s="14"/>
      <c r="H75" s="14"/>
      <c r="I75" s="14"/>
      <c r="J75" s="15">
        <f>IF(D75="","",D75)</f>
        <v>72.400000000000006</v>
      </c>
      <c r="K75" s="14" t="s">
        <v>139</v>
      </c>
      <c r="L75" s="14" t="s">
        <v>148</v>
      </c>
      <c r="M75" s="18" t="s">
        <v>144</v>
      </c>
      <c r="N75" s="14" t="s">
        <v>143</v>
      </c>
    </row>
    <row r="76" spans="1:14" ht="24">
      <c r="A76" s="4" t="s">
        <v>119</v>
      </c>
      <c r="B76" s="13">
        <v>2022</v>
      </c>
      <c r="C76" s="4" t="s">
        <v>145</v>
      </c>
      <c r="D76" s="15">
        <f>IF('Dados brutos atualizados'!E76="","",'Dados brutos atualizados'!E76)</f>
        <v>633.52</v>
      </c>
      <c r="E76" s="15">
        <f>IF(D76="","",D76*'Dados brutos atualizados'!G76)</f>
        <v>633.52</v>
      </c>
      <c r="F76" s="4"/>
      <c r="G76" s="14"/>
      <c r="H76" s="14"/>
      <c r="I76" s="14"/>
      <c r="J76" s="15">
        <f>IF(D76="","",D76)</f>
        <v>633.52</v>
      </c>
      <c r="K76" s="14" t="s">
        <v>146</v>
      </c>
      <c r="L76" s="14" t="s">
        <v>148</v>
      </c>
      <c r="M76" s="18" t="s">
        <v>150</v>
      </c>
      <c r="N76" s="14" t="s">
        <v>149</v>
      </c>
    </row>
    <row r="77" spans="1:14" ht="24">
      <c r="A77" s="4" t="s">
        <v>119</v>
      </c>
      <c r="B77" s="13">
        <v>2022</v>
      </c>
      <c r="C77" s="4" t="s">
        <v>151</v>
      </c>
      <c r="D77" s="15">
        <f>IF('Dados brutos atualizados'!E77="","",'Dados brutos atualizados'!E77)</f>
        <v>6</v>
      </c>
      <c r="E77" s="15">
        <f>IF(D77="","",D77*'Dados brutos atualizados'!G77)</f>
        <v>6</v>
      </c>
      <c r="F77" s="4"/>
      <c r="G77" s="14"/>
      <c r="H77" s="14"/>
      <c r="I77" s="14"/>
      <c r="J77" s="15">
        <f>IF(D77="","",D77)</f>
        <v>6</v>
      </c>
      <c r="K77" s="14" t="s">
        <v>139</v>
      </c>
      <c r="L77" s="14" t="s">
        <v>148</v>
      </c>
      <c r="M77" s="18" t="s">
        <v>154</v>
      </c>
      <c r="N77" s="14" t="s">
        <v>153</v>
      </c>
    </row>
    <row r="78" spans="1:14" ht="24">
      <c r="A78" s="4" t="s">
        <v>119</v>
      </c>
      <c r="B78" s="13">
        <v>2022</v>
      </c>
      <c r="C78" s="4" t="s">
        <v>155</v>
      </c>
      <c r="D78" s="15">
        <f>IF('Dados brutos atualizados'!E78="","",'Dados brutos atualizados'!E78)</f>
        <v>37.643122855601</v>
      </c>
      <c r="E78" s="15">
        <f>IF(D78="","",D78*'Dados brutos atualizados'!G78)</f>
        <v>37.643122855601</v>
      </c>
      <c r="F78" s="4"/>
      <c r="G78" s="14"/>
      <c r="H78" s="14"/>
      <c r="I78" s="14"/>
      <c r="J78" s="15">
        <f>IF(D78="","",D78)</f>
        <v>37.643122855601</v>
      </c>
      <c r="K78" s="14" t="s">
        <v>156</v>
      </c>
      <c r="L78" s="14" t="s">
        <v>159</v>
      </c>
      <c r="M78" s="18" t="s">
        <v>161</v>
      </c>
      <c r="N78" s="14" t="s">
        <v>160</v>
      </c>
    </row>
    <row r="79" spans="1:14" ht="24">
      <c r="A79" s="4" t="s">
        <v>119</v>
      </c>
      <c r="B79" s="13">
        <v>2022</v>
      </c>
      <c r="C79" s="4" t="s">
        <v>162</v>
      </c>
      <c r="D79" s="15">
        <f>IF('Dados brutos atualizados'!E79="","",'Dados brutos atualizados'!E79)</f>
        <v>84.3</v>
      </c>
      <c r="E79" s="15">
        <f>IF(D79="","",D79*'Dados brutos atualizados'!G79)</f>
        <v>84.3</v>
      </c>
      <c r="F79" s="4"/>
      <c r="G79" s="14"/>
      <c r="H79" s="14"/>
      <c r="I79" s="14"/>
      <c r="J79" s="15">
        <f>IF(D79="","",D79)</f>
        <v>84.3</v>
      </c>
      <c r="K79" s="14" t="s">
        <v>163</v>
      </c>
      <c r="L79" s="14" t="s">
        <v>148</v>
      </c>
      <c r="M79" s="18" t="s">
        <v>166</v>
      </c>
      <c r="N79" s="14" t="s">
        <v>165</v>
      </c>
    </row>
    <row r="80" spans="1:14" ht="24">
      <c r="A80" s="4" t="s">
        <v>119</v>
      </c>
      <c r="B80" s="13">
        <v>2022</v>
      </c>
      <c r="C80" s="4" t="s">
        <v>167</v>
      </c>
      <c r="D80" s="15" t="str">
        <f>IF('Dados brutos atualizados'!E80="","",'Dados brutos atualizados'!E80)</f>
        <v/>
      </c>
      <c r="E80" s="15" t="str">
        <f>IF(D80="","",D80*'Dados brutos atualizados'!G80)</f>
        <v/>
      </c>
      <c r="F80" s="17" t="str">
        <f>IF(E80="","",Deflatores!E20)</f>
        <v/>
      </c>
      <c r="G80" s="15" t="str">
        <f>IF(OR(E80="",F80=""),"",E80*F80)</f>
        <v/>
      </c>
      <c r="H80" s="15">
        <f>IF('Dados tratados'!E82="","",'Dados tratados'!E82)</f>
        <v>46235000</v>
      </c>
      <c r="I80" s="15" t="str">
        <f>IF(OR(G80="",H80="",H80=0),"",G80/H80)</f>
        <v/>
      </c>
      <c r="J80" s="14"/>
      <c r="K80" s="14" t="s">
        <v>168</v>
      </c>
      <c r="L80" s="14" t="s">
        <v>171</v>
      </c>
      <c r="M80" s="18" t="s">
        <v>173</v>
      </c>
      <c r="N80" s="14" t="s">
        <v>172</v>
      </c>
    </row>
    <row r="81" spans="1:14" ht="24">
      <c r="A81" s="4" t="s">
        <v>119</v>
      </c>
      <c r="B81" s="13">
        <v>2022</v>
      </c>
      <c r="C81" s="4" t="s">
        <v>174</v>
      </c>
      <c r="D81" s="15">
        <f>IF('Dados brutos atualizados'!E81="","",'Dados brutos atualizados'!E81)</f>
        <v>-3.8363851046833002</v>
      </c>
      <c r="E81" s="15">
        <f>IF(D81="","",D81*'Dados brutos atualizados'!G81)</f>
        <v>-3.8363851046833002</v>
      </c>
      <c r="F81" s="4"/>
      <c r="G81" s="14"/>
      <c r="H81" s="14"/>
      <c r="I81" s="14"/>
      <c r="J81" s="15">
        <f>IF(D81="","",D81)</f>
        <v>-3.8363851046833002</v>
      </c>
      <c r="K81" s="14" t="s">
        <v>156</v>
      </c>
      <c r="L81" s="14" t="s">
        <v>148</v>
      </c>
      <c r="M81" s="18" t="s">
        <v>178</v>
      </c>
      <c r="N81" s="14" t="s">
        <v>177</v>
      </c>
    </row>
    <row r="82" spans="1:14" ht="24">
      <c r="A82" s="4" t="s">
        <v>119</v>
      </c>
      <c r="B82" s="13">
        <v>2022</v>
      </c>
      <c r="C82" s="4" t="s">
        <v>179</v>
      </c>
      <c r="D82" s="15">
        <f>IF('Dados brutos atualizados'!E82="","",'Dados brutos atualizados'!E82)</f>
        <v>46.234999999999999</v>
      </c>
      <c r="E82" s="15">
        <f>IF(D82="","",D82*'Dados brutos atualizados'!G82)</f>
        <v>46235000</v>
      </c>
      <c r="F82" s="4"/>
      <c r="G82" s="14"/>
      <c r="H82" s="14"/>
      <c r="I82" s="14"/>
      <c r="J82" s="15">
        <f>IF(D82="","",D82)</f>
        <v>46.234999999999999</v>
      </c>
      <c r="K82" s="14" t="s">
        <v>180</v>
      </c>
      <c r="L82" s="14" t="s">
        <v>148</v>
      </c>
      <c r="M82" s="18" t="s">
        <v>183</v>
      </c>
      <c r="N82" s="14" t="s">
        <v>182</v>
      </c>
    </row>
    <row r="83" spans="1:14" ht="36">
      <c r="A83" s="4" t="s">
        <v>119</v>
      </c>
      <c r="B83" s="13">
        <v>2022</v>
      </c>
      <c r="C83" s="4" t="s">
        <v>184</v>
      </c>
      <c r="D83" s="15">
        <f>IF('Dados brutos atualizados'!E83="","",'Dados brutos atualizados'!E83)</f>
        <v>11276056.768243499</v>
      </c>
      <c r="E83" s="14"/>
      <c r="F83" s="4"/>
      <c r="G83" s="14"/>
      <c r="H83" s="14"/>
      <c r="I83" s="14"/>
      <c r="J83" s="15">
        <f>IF(D83="","",D83)</f>
        <v>11276056.768243499</v>
      </c>
      <c r="K83" s="14" t="s">
        <v>185</v>
      </c>
      <c r="L83" s="14" t="s">
        <v>188</v>
      </c>
      <c r="M83" s="18" t="s">
        <v>190</v>
      </c>
      <c r="N83" s="14" t="s">
        <v>189</v>
      </c>
    </row>
    <row r="84" spans="1:14" ht="24">
      <c r="A84" s="4" t="s">
        <v>119</v>
      </c>
      <c r="B84" s="13">
        <v>2022</v>
      </c>
      <c r="C84" s="4" t="s">
        <v>191</v>
      </c>
      <c r="D84" s="15" t="str">
        <f>IF('Dados brutos atualizados'!E84="","",'Dados brutos atualizados'!E84)</f>
        <v/>
      </c>
      <c r="E84" s="15" t="str">
        <f>IF(D84="","",D84*'Dados brutos atualizados'!G84)</f>
        <v/>
      </c>
      <c r="F84" s="17" t="str">
        <f>IF(E84="","",Deflatores!E20)</f>
        <v/>
      </c>
      <c r="G84" s="15" t="str">
        <f>IF(OR(E84="",F84=""),"",E84*F84)</f>
        <v/>
      </c>
      <c r="H84" s="15">
        <f>IF('Dados tratados'!E82="","",'Dados tratados'!E82)</f>
        <v>46235000</v>
      </c>
      <c r="I84" s="15" t="str">
        <f>IF(OR(G84="",H84="",H84=0),"",G84/H84)</f>
        <v/>
      </c>
      <c r="J84" s="14"/>
      <c r="K84" s="14" t="s">
        <v>168</v>
      </c>
      <c r="L84" s="14" t="s">
        <v>171</v>
      </c>
      <c r="M84" s="18" t="s">
        <v>173</v>
      </c>
      <c r="N84" s="14" t="s">
        <v>172</v>
      </c>
    </row>
    <row r="85" spans="1:14" ht="24">
      <c r="A85" s="4" t="s">
        <v>119</v>
      </c>
      <c r="B85" s="13">
        <v>2022</v>
      </c>
      <c r="C85" s="4" t="s">
        <v>192</v>
      </c>
      <c r="D85" s="15" t="str">
        <f>IF('Dados brutos atualizados'!E85="","",'Dados brutos atualizados'!E85)</f>
        <v/>
      </c>
      <c r="E85" s="15" t="str">
        <f>IF(D85="","",D85*'Dados brutos atualizados'!G85)</f>
        <v/>
      </c>
      <c r="F85" s="17" t="str">
        <f>IF(E85="","",Deflatores!E20)</f>
        <v/>
      </c>
      <c r="G85" s="15" t="str">
        <f>IF(OR(E85="",F85=""),"",E85*F85)</f>
        <v/>
      </c>
      <c r="H85" s="15">
        <f>IF('Dados tratados'!E82="","",'Dados tratados'!E82)</f>
        <v>46235000</v>
      </c>
      <c r="I85" s="15" t="str">
        <f>IF(OR(G85="",H85="",H85=0),"",G85/H85)</f>
        <v/>
      </c>
      <c r="J85" s="14"/>
      <c r="K85" s="14" t="s">
        <v>168</v>
      </c>
      <c r="L85" s="14" t="s">
        <v>171</v>
      </c>
      <c r="M85" s="18" t="s">
        <v>173</v>
      </c>
      <c r="N85" s="14" t="s">
        <v>172</v>
      </c>
    </row>
    <row r="86" spans="1:14" ht="24">
      <c r="A86" s="4" t="s">
        <v>119</v>
      </c>
      <c r="B86" s="13">
        <v>2023</v>
      </c>
      <c r="C86" s="4" t="s">
        <v>131</v>
      </c>
      <c r="D86" s="15">
        <f>IF('Dados brutos atualizados'!E86="","",'Dados brutos atualizados'!E86)</f>
        <v>46463191.275416598</v>
      </c>
      <c r="E86" s="15">
        <f>IF(D86="","",D86*'Dados brutos atualizados'!G86)</f>
        <v>46463191275416.602</v>
      </c>
      <c r="F86" s="17">
        <f>IF(E86="","",Deflatores!E21)</f>
        <v>4.5393809999999997</v>
      </c>
      <c r="G86" s="15">
        <f>IF(OR(E86="",F86=""),"",E86*F86)</f>
        <v>210914127674991.87</v>
      </c>
      <c r="H86" s="15">
        <f>IF('Dados tratados'!E94="","",'Dados tratados'!E94)</f>
        <v>46655000</v>
      </c>
      <c r="I86" s="15">
        <f>IF(OR(G86="",H86="",H86=0),"",G86/H86)</f>
        <v>4520718.6298358561</v>
      </c>
      <c r="J86" s="14"/>
      <c r="K86" s="14" t="s">
        <v>168</v>
      </c>
      <c r="L86" s="14" t="s">
        <v>135</v>
      </c>
      <c r="M86" s="18" t="s">
        <v>214</v>
      </c>
      <c r="N86" s="14" t="s">
        <v>136</v>
      </c>
    </row>
    <row r="87" spans="1:14" ht="24">
      <c r="A87" s="4" t="s">
        <v>119</v>
      </c>
      <c r="B87" s="13">
        <v>2023</v>
      </c>
      <c r="C87" s="4" t="s">
        <v>138</v>
      </c>
      <c r="D87" s="15">
        <f>IF('Dados brutos atualizados'!E87="","",'Dados brutos atualizados'!E87)</f>
        <v>133.5</v>
      </c>
      <c r="E87" s="15">
        <f>IF(D87="","",D87*'Dados brutos atualizados'!G87)</f>
        <v>133.5</v>
      </c>
      <c r="F87" s="4"/>
      <c r="G87" s="14"/>
      <c r="H87" s="14"/>
      <c r="I87" s="14"/>
      <c r="J87" s="15">
        <f>IF(D87="","",D87)</f>
        <v>133.5</v>
      </c>
      <c r="K87" s="14" t="s">
        <v>139</v>
      </c>
      <c r="L87" s="14" t="s">
        <v>148</v>
      </c>
      <c r="M87" s="18" t="s">
        <v>144</v>
      </c>
      <c r="N87" s="14" t="s">
        <v>143</v>
      </c>
    </row>
    <row r="88" spans="1:14" ht="24">
      <c r="A88" s="4" t="s">
        <v>119</v>
      </c>
      <c r="B88" s="13">
        <v>2023</v>
      </c>
      <c r="C88" s="4" t="s">
        <v>145</v>
      </c>
      <c r="D88" s="15">
        <f>IF('Dados brutos atualizados'!E88="","",'Dados brutos atualizados'!E88)</f>
        <v>654.08100000000002</v>
      </c>
      <c r="E88" s="15">
        <f>IF(D88="","",D88*'Dados brutos atualizados'!G88)</f>
        <v>654.08100000000002</v>
      </c>
      <c r="F88" s="4"/>
      <c r="G88" s="14"/>
      <c r="H88" s="14"/>
      <c r="I88" s="14"/>
      <c r="J88" s="15">
        <f>IF(D88="","",D88)</f>
        <v>654.08100000000002</v>
      </c>
      <c r="K88" s="14" t="s">
        <v>146</v>
      </c>
      <c r="L88" s="14" t="s">
        <v>148</v>
      </c>
      <c r="M88" s="18" t="s">
        <v>150</v>
      </c>
      <c r="N88" s="14" t="s">
        <v>149</v>
      </c>
    </row>
    <row r="89" spans="1:14" ht="24">
      <c r="A89" s="4" t="s">
        <v>119</v>
      </c>
      <c r="B89" s="13">
        <v>2023</v>
      </c>
      <c r="C89" s="4" t="s">
        <v>151</v>
      </c>
      <c r="D89" s="15">
        <f>IF('Dados brutos atualizados'!E89="","",'Dados brutos atualizados'!E89)</f>
        <v>-1.9</v>
      </c>
      <c r="E89" s="15">
        <f>IF(D89="","",D89*'Dados brutos atualizados'!G89)</f>
        <v>-1.9</v>
      </c>
      <c r="F89" s="4"/>
      <c r="G89" s="14"/>
      <c r="H89" s="14"/>
      <c r="I89" s="14"/>
      <c r="J89" s="15">
        <f>IF(D89="","",D89)</f>
        <v>-1.9</v>
      </c>
      <c r="K89" s="14" t="s">
        <v>139</v>
      </c>
      <c r="L89" s="14" t="s">
        <v>148</v>
      </c>
      <c r="M89" s="18" t="s">
        <v>154</v>
      </c>
      <c r="N89" s="14" t="s">
        <v>153</v>
      </c>
    </row>
    <row r="90" spans="1:14" ht="24">
      <c r="A90" s="4" t="s">
        <v>119</v>
      </c>
      <c r="B90" s="13">
        <v>2023</v>
      </c>
      <c r="C90" s="4" t="s">
        <v>155</v>
      </c>
      <c r="D90" s="15">
        <f>IF('Dados brutos atualizados'!E90="","",'Dados brutos atualizados'!E90)</f>
        <v>37.637348191849</v>
      </c>
      <c r="E90" s="15">
        <f>IF(D90="","",D90*'Dados brutos atualizados'!G90)</f>
        <v>37.637348191849</v>
      </c>
      <c r="F90" s="4"/>
      <c r="G90" s="14"/>
      <c r="H90" s="14"/>
      <c r="I90" s="14"/>
      <c r="J90" s="15">
        <f>IF(D90="","",D90)</f>
        <v>37.637348191849</v>
      </c>
      <c r="K90" s="14" t="s">
        <v>156</v>
      </c>
      <c r="L90" s="14" t="s">
        <v>159</v>
      </c>
      <c r="M90" s="18" t="s">
        <v>161</v>
      </c>
      <c r="N90" s="14" t="s">
        <v>160</v>
      </c>
    </row>
    <row r="91" spans="1:14" ht="24">
      <c r="A91" s="4" t="s">
        <v>119</v>
      </c>
      <c r="B91" s="13">
        <v>2023</v>
      </c>
      <c r="C91" s="4" t="s">
        <v>162</v>
      </c>
      <c r="D91" s="15">
        <f>IF('Dados brutos atualizados'!E91="","",'Dados brutos atualizados'!E91)</f>
        <v>153.4</v>
      </c>
      <c r="E91" s="15">
        <f>IF(D91="","",D91*'Dados brutos atualizados'!G91)</f>
        <v>153.4</v>
      </c>
      <c r="F91" s="4"/>
      <c r="G91" s="14"/>
      <c r="H91" s="14"/>
      <c r="I91" s="14"/>
      <c r="J91" s="15">
        <f>IF(D91="","",D91)</f>
        <v>153.4</v>
      </c>
      <c r="K91" s="14" t="s">
        <v>163</v>
      </c>
      <c r="L91" s="14" t="s">
        <v>148</v>
      </c>
      <c r="M91" s="18" t="s">
        <v>166</v>
      </c>
      <c r="N91" s="14" t="s">
        <v>165</v>
      </c>
    </row>
    <row r="92" spans="1:14" ht="24">
      <c r="A92" s="4" t="s">
        <v>119</v>
      </c>
      <c r="B92" s="13">
        <v>2023</v>
      </c>
      <c r="C92" s="4" t="s">
        <v>167</v>
      </c>
      <c r="D92" s="15" t="str">
        <f>IF('Dados brutos atualizados'!E92="","",'Dados brutos atualizados'!E92)</f>
        <v/>
      </c>
      <c r="E92" s="15" t="str">
        <f>IF(D92="","",D92*'Dados brutos atualizados'!G92)</f>
        <v/>
      </c>
      <c r="F92" s="17" t="str">
        <f>IF(E92="","",Deflatores!E21)</f>
        <v/>
      </c>
      <c r="G92" s="15" t="str">
        <f>IF(OR(E92="",F92=""),"",E92*F92)</f>
        <v/>
      </c>
      <c r="H92" s="15">
        <f>IF('Dados tratados'!E94="","",'Dados tratados'!E94)</f>
        <v>46655000</v>
      </c>
      <c r="I92" s="15" t="str">
        <f>IF(OR(G92="",H92="",H92=0),"",G92/H92)</f>
        <v/>
      </c>
      <c r="J92" s="14"/>
      <c r="K92" s="14" t="s">
        <v>168</v>
      </c>
      <c r="L92" s="14" t="s">
        <v>171</v>
      </c>
      <c r="M92" s="18" t="s">
        <v>173</v>
      </c>
      <c r="N92" s="14" t="s">
        <v>172</v>
      </c>
    </row>
    <row r="93" spans="1:14" ht="24">
      <c r="A93" s="4" t="s">
        <v>119</v>
      </c>
      <c r="B93" s="13">
        <v>2023</v>
      </c>
      <c r="C93" s="4" t="s">
        <v>174</v>
      </c>
      <c r="D93" s="15">
        <f>IF('Dados brutos atualizados'!E93="","",'Dados brutos atualizados'!E93)</f>
        <v>-5.2809834443614001</v>
      </c>
      <c r="E93" s="15">
        <f>IF(D93="","",D93*'Dados brutos atualizados'!G93)</f>
        <v>-5.2809834443614001</v>
      </c>
      <c r="F93" s="4"/>
      <c r="G93" s="14"/>
      <c r="H93" s="14"/>
      <c r="I93" s="14"/>
      <c r="J93" s="15">
        <f>IF(D93="","",D93)</f>
        <v>-5.2809834443614001</v>
      </c>
      <c r="K93" s="14" t="s">
        <v>156</v>
      </c>
      <c r="L93" s="14" t="s">
        <v>148</v>
      </c>
      <c r="M93" s="18" t="s">
        <v>178</v>
      </c>
      <c r="N93" s="14" t="s">
        <v>177</v>
      </c>
    </row>
    <row r="94" spans="1:14" ht="24">
      <c r="A94" s="4" t="s">
        <v>119</v>
      </c>
      <c r="B94" s="13">
        <v>2023</v>
      </c>
      <c r="C94" s="4" t="s">
        <v>179</v>
      </c>
      <c r="D94" s="15">
        <f>IF('Dados brutos atualizados'!E94="","",'Dados brutos atualizados'!E94)</f>
        <v>46.655000000000001</v>
      </c>
      <c r="E94" s="15">
        <f>IF(D94="","",D94*'Dados brutos atualizados'!G94)</f>
        <v>46655000</v>
      </c>
      <c r="F94" s="4"/>
      <c r="G94" s="14"/>
      <c r="H94" s="14"/>
      <c r="I94" s="14"/>
      <c r="J94" s="15">
        <f>IF(D94="","",D94)</f>
        <v>46.655000000000001</v>
      </c>
      <c r="K94" s="14" t="s">
        <v>180</v>
      </c>
      <c r="L94" s="14" t="s">
        <v>148</v>
      </c>
      <c r="M94" s="18" t="s">
        <v>183</v>
      </c>
      <c r="N94" s="14" t="s">
        <v>182</v>
      </c>
    </row>
    <row r="95" spans="1:14" ht="36">
      <c r="A95" s="4" t="s">
        <v>119</v>
      </c>
      <c r="B95" s="13">
        <v>2023</v>
      </c>
      <c r="C95" s="4" t="s">
        <v>184</v>
      </c>
      <c r="D95" s="15">
        <f>IF('Dados brutos atualizados'!E95="","",'Dados brutos atualizados'!E95)</f>
        <v>25030205.134151001</v>
      </c>
      <c r="E95" s="14"/>
      <c r="F95" s="4"/>
      <c r="G95" s="14"/>
      <c r="H95" s="14"/>
      <c r="I95" s="14"/>
      <c r="J95" s="15">
        <f>IF(D95="","",D95)</f>
        <v>25030205.134151001</v>
      </c>
      <c r="K95" s="14" t="s">
        <v>185</v>
      </c>
      <c r="L95" s="14" t="s">
        <v>188</v>
      </c>
      <c r="M95" s="18" t="s">
        <v>190</v>
      </c>
      <c r="N95" s="14" t="s">
        <v>189</v>
      </c>
    </row>
    <row r="96" spans="1:14" ht="24">
      <c r="A96" s="4" t="s">
        <v>119</v>
      </c>
      <c r="B96" s="13">
        <v>2023</v>
      </c>
      <c r="C96" s="4" t="s">
        <v>191</v>
      </c>
      <c r="D96" s="15" t="str">
        <f>IF('Dados brutos atualizados'!E96="","",'Dados brutos atualizados'!E96)</f>
        <v/>
      </c>
      <c r="E96" s="15" t="str">
        <f>IF(D96="","",D96*'Dados brutos atualizados'!G96)</f>
        <v/>
      </c>
      <c r="F96" s="17" t="str">
        <f>IF(E96="","",Deflatores!E21)</f>
        <v/>
      </c>
      <c r="G96" s="15" t="str">
        <f>IF(OR(E96="",F96=""),"",E96*F96)</f>
        <v/>
      </c>
      <c r="H96" s="15">
        <f>IF('Dados tratados'!E94="","",'Dados tratados'!E94)</f>
        <v>46655000</v>
      </c>
      <c r="I96" s="15" t="str">
        <f>IF(OR(G96="",H96="",H96=0),"",G96/H96)</f>
        <v/>
      </c>
      <c r="J96" s="14"/>
      <c r="K96" s="14" t="s">
        <v>168</v>
      </c>
      <c r="L96" s="14" t="s">
        <v>171</v>
      </c>
      <c r="M96" s="18" t="s">
        <v>173</v>
      </c>
      <c r="N96" s="14" t="s">
        <v>172</v>
      </c>
    </row>
    <row r="97" spans="1:14" ht="24">
      <c r="A97" s="4" t="s">
        <v>119</v>
      </c>
      <c r="B97" s="13">
        <v>2023</v>
      </c>
      <c r="C97" s="4" t="s">
        <v>192</v>
      </c>
      <c r="D97" s="15" t="str">
        <f>IF('Dados brutos atualizados'!E97="","",'Dados brutos atualizados'!E97)</f>
        <v/>
      </c>
      <c r="E97" s="15" t="str">
        <f>IF(D97="","",D97*'Dados brutos atualizados'!G97)</f>
        <v/>
      </c>
      <c r="F97" s="17" t="str">
        <f>IF(E97="","",Deflatores!E21)</f>
        <v/>
      </c>
      <c r="G97" s="15" t="str">
        <f>IF(OR(E97="",F97=""),"",E97*F97)</f>
        <v/>
      </c>
      <c r="H97" s="15">
        <f>IF('Dados tratados'!E94="","",'Dados tratados'!E94)</f>
        <v>46655000</v>
      </c>
      <c r="I97" s="15" t="str">
        <f>IF(OR(G97="",H97="",H97=0),"",G97/H97)</f>
        <v/>
      </c>
      <c r="J97" s="14"/>
      <c r="K97" s="14" t="s">
        <v>168</v>
      </c>
      <c r="L97" s="14" t="s">
        <v>171</v>
      </c>
      <c r="M97" s="18" t="s">
        <v>173</v>
      </c>
      <c r="N97" s="14" t="s">
        <v>172</v>
      </c>
    </row>
    <row r="98" spans="1:14" ht="24">
      <c r="A98" s="4" t="s">
        <v>119</v>
      </c>
      <c r="B98" s="13">
        <v>2024</v>
      </c>
      <c r="C98" s="4" t="s">
        <v>131</v>
      </c>
      <c r="D98" s="15">
        <f>IF('Dados brutos atualizados'!E98="","",'Dados brutos atualizados'!E98)</f>
        <v>142031453.04916501</v>
      </c>
      <c r="E98" s="15">
        <f>IF(D98="","",D98*'Dados brutos atualizados'!G98)</f>
        <v>142031453049165</v>
      </c>
      <c r="F98" s="17">
        <f>IF(E98="","",Deflatores!E22)</f>
        <v>1.419</v>
      </c>
      <c r="G98" s="15">
        <f>IF(OR(E98="",F98=""),"",E98*F98)</f>
        <v>201542631876765.12</v>
      </c>
      <c r="H98" s="15">
        <f>IF('Dados tratados'!E106="","",'Dados tratados'!E106)</f>
        <v>47068000</v>
      </c>
      <c r="I98" s="15">
        <f>IF(OR(G98="",H98="",H98=0),"",G98/H98)</f>
        <v>4281945.9479214139</v>
      </c>
      <c r="J98" s="14"/>
      <c r="K98" s="14" t="s">
        <v>168</v>
      </c>
      <c r="L98" s="14" t="s">
        <v>135</v>
      </c>
      <c r="M98" s="18" t="s">
        <v>217</v>
      </c>
      <c r="N98" s="14" t="s">
        <v>136</v>
      </c>
    </row>
    <row r="99" spans="1:14" ht="24">
      <c r="A99" s="4" t="s">
        <v>119</v>
      </c>
      <c r="B99" s="13">
        <v>2024</v>
      </c>
      <c r="C99" s="4" t="s">
        <v>138</v>
      </c>
      <c r="D99" s="15">
        <f>IF('Dados brutos atualizados'!E99="","",'Dados brutos atualizados'!E99)</f>
        <v>219.9</v>
      </c>
      <c r="E99" s="15">
        <f>IF(D99="","",D99*'Dados brutos atualizados'!G99)</f>
        <v>219.9</v>
      </c>
      <c r="F99" s="4"/>
      <c r="G99" s="14"/>
      <c r="H99" s="14"/>
      <c r="I99" s="14"/>
      <c r="J99" s="15">
        <f>IF(D99="","",D99)</f>
        <v>219.9</v>
      </c>
      <c r="K99" s="14" t="s">
        <v>139</v>
      </c>
      <c r="L99" s="14" t="s">
        <v>148</v>
      </c>
      <c r="M99" s="18" t="s">
        <v>144</v>
      </c>
      <c r="N99" s="14" t="s">
        <v>143</v>
      </c>
    </row>
    <row r="100" spans="1:14" ht="24">
      <c r="A100" s="4" t="s">
        <v>119</v>
      </c>
      <c r="B100" s="13">
        <v>2024</v>
      </c>
      <c r="C100" s="4" t="s">
        <v>145</v>
      </c>
      <c r="D100" s="15">
        <f>IF('Dados brutos atualizados'!E100="","",'Dados brutos atualizados'!E100)</f>
        <v>637.74400000000003</v>
      </c>
      <c r="E100" s="15">
        <f>IF(D100="","",D100*'Dados brutos atualizados'!G100)</f>
        <v>637.74400000000003</v>
      </c>
      <c r="F100" s="4"/>
      <c r="G100" s="14"/>
      <c r="H100" s="14"/>
      <c r="I100" s="14"/>
      <c r="J100" s="15">
        <f>IF(D100="","",D100)</f>
        <v>637.74400000000003</v>
      </c>
      <c r="K100" s="14" t="s">
        <v>146</v>
      </c>
      <c r="L100" s="14" t="s">
        <v>148</v>
      </c>
      <c r="M100" s="18" t="s">
        <v>150</v>
      </c>
      <c r="N100" s="14" t="s">
        <v>149</v>
      </c>
    </row>
    <row r="101" spans="1:14" ht="24">
      <c r="A101" s="4" t="s">
        <v>119</v>
      </c>
      <c r="B101" s="13">
        <v>2024</v>
      </c>
      <c r="C101" s="4" t="s">
        <v>151</v>
      </c>
      <c r="D101" s="15">
        <f>IF('Dados brutos atualizados'!E101="","",'Dados brutos atualizados'!E101)</f>
        <v>-1.4</v>
      </c>
      <c r="E101" s="15">
        <f>IF(D101="","",D101*'Dados brutos atualizados'!G101)</f>
        <v>-1.4</v>
      </c>
      <c r="F101" s="4"/>
      <c r="G101" s="14"/>
      <c r="H101" s="14"/>
      <c r="I101" s="14"/>
      <c r="J101" s="15">
        <f>IF(D101="","",D101)</f>
        <v>-1.4</v>
      </c>
      <c r="K101" s="14" t="s">
        <v>139</v>
      </c>
      <c r="L101" s="14" t="s">
        <v>148</v>
      </c>
      <c r="M101" s="18" t="s">
        <v>154</v>
      </c>
      <c r="N101" s="14" t="s">
        <v>153</v>
      </c>
    </row>
    <row r="102" spans="1:14" ht="24">
      <c r="A102" s="4" t="s">
        <v>119</v>
      </c>
      <c r="B102" s="13">
        <v>2024</v>
      </c>
      <c r="C102" s="4" t="s">
        <v>155</v>
      </c>
      <c r="D102" s="15">
        <f>IF('Dados brutos atualizados'!E102="","",'Dados brutos atualizados'!E102)</f>
        <v>31.019181588171001</v>
      </c>
      <c r="E102" s="15">
        <f>IF(D102="","",D102*'Dados brutos atualizados'!G102)</f>
        <v>31.019181588171001</v>
      </c>
      <c r="F102" s="4"/>
      <c r="G102" s="14"/>
      <c r="H102" s="14"/>
      <c r="I102" s="14"/>
      <c r="J102" s="15">
        <f>IF(D102="","",D102)</f>
        <v>31.019181588171001</v>
      </c>
      <c r="K102" s="14" t="s">
        <v>156</v>
      </c>
      <c r="L102" s="14" t="s">
        <v>159</v>
      </c>
      <c r="M102" s="18" t="s">
        <v>161</v>
      </c>
      <c r="N102" s="14" t="s">
        <v>160</v>
      </c>
    </row>
    <row r="103" spans="1:14" ht="24">
      <c r="A103" s="4" t="s">
        <v>119</v>
      </c>
      <c r="B103" s="13">
        <v>2024</v>
      </c>
      <c r="C103" s="4" t="s">
        <v>162</v>
      </c>
      <c r="D103" s="15">
        <f>IF('Dados brutos atualizados'!E103="","",'Dados brutos atualizados'!E103)</f>
        <v>84.6</v>
      </c>
      <c r="E103" s="15">
        <f>IF(D103="","",D103*'Dados brutos atualizados'!G103)</f>
        <v>84.6</v>
      </c>
      <c r="F103" s="4"/>
      <c r="G103" s="14"/>
      <c r="H103" s="14"/>
      <c r="I103" s="14"/>
      <c r="J103" s="15">
        <f>IF(D103="","",D103)</f>
        <v>84.6</v>
      </c>
      <c r="K103" s="14" t="s">
        <v>163</v>
      </c>
      <c r="L103" s="14" t="s">
        <v>148</v>
      </c>
      <c r="M103" s="18" t="s">
        <v>166</v>
      </c>
      <c r="N103" s="14" t="s">
        <v>165</v>
      </c>
    </row>
    <row r="104" spans="1:14" ht="24">
      <c r="A104" s="4" t="s">
        <v>119</v>
      </c>
      <c r="B104" s="13">
        <v>2024</v>
      </c>
      <c r="C104" s="4" t="s">
        <v>167</v>
      </c>
      <c r="D104" s="15" t="str">
        <f>IF('Dados brutos atualizados'!E104="","",'Dados brutos atualizados'!E104)</f>
        <v/>
      </c>
      <c r="E104" s="15" t="str">
        <f>IF(D104="","",D104*'Dados brutos atualizados'!G104)</f>
        <v/>
      </c>
      <c r="F104" s="17" t="str">
        <f>IF(E104="","",Deflatores!E22)</f>
        <v/>
      </c>
      <c r="G104" s="15" t="str">
        <f>IF(OR(E104="",F104=""),"",E104*F104)</f>
        <v/>
      </c>
      <c r="H104" s="15">
        <f>IF('Dados tratados'!E106="","",'Dados tratados'!E106)</f>
        <v>47068000</v>
      </c>
      <c r="I104" s="15" t="str">
        <f>IF(OR(G104="",H104="",H104=0),"",G104/H104)</f>
        <v/>
      </c>
      <c r="J104" s="14"/>
      <c r="K104" s="14" t="s">
        <v>168</v>
      </c>
      <c r="L104" s="14" t="s">
        <v>171</v>
      </c>
      <c r="M104" s="18" t="s">
        <v>173</v>
      </c>
      <c r="N104" s="14" t="s">
        <v>172</v>
      </c>
    </row>
    <row r="105" spans="1:14" ht="24">
      <c r="A105" s="4" t="s">
        <v>119</v>
      </c>
      <c r="B105" s="13">
        <v>2024</v>
      </c>
      <c r="C105" s="4" t="s">
        <v>174</v>
      </c>
      <c r="D105" s="15">
        <f>IF('Dados brutos atualizados'!E105="","",'Dados brutos atualizados'!E105)</f>
        <v>0.45837828974321998</v>
      </c>
      <c r="E105" s="15">
        <f>IF(D105="","",D105*'Dados brutos atualizados'!G105)</f>
        <v>0.45837828974321998</v>
      </c>
      <c r="F105" s="4"/>
      <c r="G105" s="14"/>
      <c r="H105" s="14"/>
      <c r="I105" s="14"/>
      <c r="J105" s="15">
        <f>IF(D105="","",D105)</f>
        <v>0.45837828974321998</v>
      </c>
      <c r="K105" s="14" t="s">
        <v>156</v>
      </c>
      <c r="L105" s="14" t="s">
        <v>148</v>
      </c>
      <c r="M105" s="18" t="s">
        <v>178</v>
      </c>
      <c r="N105" s="14" t="s">
        <v>177</v>
      </c>
    </row>
    <row r="106" spans="1:14" ht="24">
      <c r="A106" s="4" t="s">
        <v>119</v>
      </c>
      <c r="B106" s="13">
        <v>2024</v>
      </c>
      <c r="C106" s="4" t="s">
        <v>179</v>
      </c>
      <c r="D106" s="15">
        <f>IF('Dados brutos atualizados'!E106="","",'Dados brutos atualizados'!E106)</f>
        <v>47.067999999999998</v>
      </c>
      <c r="E106" s="15">
        <f>IF(D106="","",D106*'Dados brutos atualizados'!G106)</f>
        <v>47068000</v>
      </c>
      <c r="F106" s="4"/>
      <c r="G106" s="14"/>
      <c r="H106" s="14"/>
      <c r="I106" s="14"/>
      <c r="J106" s="15">
        <f>IF(D106="","",D106)</f>
        <v>47.067999999999998</v>
      </c>
      <c r="K106" s="14" t="s">
        <v>180</v>
      </c>
      <c r="L106" s="14" t="s">
        <v>148</v>
      </c>
      <c r="M106" s="18" t="s">
        <v>183</v>
      </c>
      <c r="N106" s="14" t="s">
        <v>182</v>
      </c>
    </row>
    <row r="107" spans="1:14" ht="36">
      <c r="A107" s="4" t="s">
        <v>119</v>
      </c>
      <c r="B107" s="13">
        <v>2024</v>
      </c>
      <c r="C107" s="4" t="s">
        <v>184</v>
      </c>
      <c r="D107" s="15">
        <f>IF('Dados brutos atualizados'!E107="","",'Dados brutos atualizados'!E107)</f>
        <v>73874240.213494703</v>
      </c>
      <c r="E107" s="14"/>
      <c r="F107" s="4"/>
      <c r="G107" s="14"/>
      <c r="H107" s="14"/>
      <c r="I107" s="14"/>
      <c r="J107" s="15">
        <f>IF(D107="","",D107)</f>
        <v>73874240.213494703</v>
      </c>
      <c r="K107" s="14" t="s">
        <v>185</v>
      </c>
      <c r="L107" s="14" t="s">
        <v>188</v>
      </c>
      <c r="M107" s="18" t="s">
        <v>190</v>
      </c>
      <c r="N107" s="14" t="s">
        <v>189</v>
      </c>
    </row>
    <row r="108" spans="1:14" ht="24">
      <c r="A108" s="4" t="s">
        <v>119</v>
      </c>
      <c r="B108" s="13">
        <v>2024</v>
      </c>
      <c r="C108" s="4" t="s">
        <v>191</v>
      </c>
      <c r="D108" s="15" t="str">
        <f>IF('Dados brutos atualizados'!E108="","",'Dados brutos atualizados'!E108)</f>
        <v/>
      </c>
      <c r="E108" s="15" t="str">
        <f>IF(D108="","",D108*'Dados brutos atualizados'!G108)</f>
        <v/>
      </c>
      <c r="F108" s="17" t="str">
        <f>IF(E108="","",Deflatores!E22)</f>
        <v/>
      </c>
      <c r="G108" s="15" t="str">
        <f>IF(OR(E108="",F108=""),"",E108*F108)</f>
        <v/>
      </c>
      <c r="H108" s="15">
        <f>IF('Dados tratados'!E106="","",'Dados tratados'!E106)</f>
        <v>47068000</v>
      </c>
      <c r="I108" s="15" t="str">
        <f>IF(OR(G108="",H108="",H108=0),"",G108/H108)</f>
        <v/>
      </c>
      <c r="J108" s="14"/>
      <c r="K108" s="14" t="s">
        <v>168</v>
      </c>
      <c r="L108" s="14" t="s">
        <v>171</v>
      </c>
      <c r="M108" s="18" t="s">
        <v>173</v>
      </c>
      <c r="N108" s="14" t="s">
        <v>172</v>
      </c>
    </row>
    <row r="109" spans="1:14" ht="24">
      <c r="A109" s="4" t="s">
        <v>119</v>
      </c>
      <c r="B109" s="13">
        <v>2024</v>
      </c>
      <c r="C109" s="4" t="s">
        <v>192</v>
      </c>
      <c r="D109" s="15" t="str">
        <f>IF('Dados brutos atualizados'!E109="","",'Dados brutos atualizados'!E109)</f>
        <v/>
      </c>
      <c r="E109" s="15" t="str">
        <f>IF(D109="","",D109*'Dados brutos atualizados'!G109)</f>
        <v/>
      </c>
      <c r="F109" s="17" t="str">
        <f>IF(E109="","",Deflatores!E22)</f>
        <v/>
      </c>
      <c r="G109" s="15" t="str">
        <f>IF(OR(E109="",F109=""),"",E109*F109)</f>
        <v/>
      </c>
      <c r="H109" s="15">
        <f>IF('Dados tratados'!E106="","",'Dados tratados'!E106)</f>
        <v>47068000</v>
      </c>
      <c r="I109" s="15" t="str">
        <f>IF(OR(G109="",H109="",H109=0),"",G109/H109)</f>
        <v/>
      </c>
      <c r="J109" s="14"/>
      <c r="K109" s="14" t="s">
        <v>168</v>
      </c>
      <c r="L109" s="14" t="s">
        <v>171</v>
      </c>
      <c r="M109" s="18" t="s">
        <v>173</v>
      </c>
      <c r="N109" s="14" t="s">
        <v>172</v>
      </c>
    </row>
    <row r="110" spans="1:14" ht="24">
      <c r="A110" s="4" t="s">
        <v>119</v>
      </c>
      <c r="B110" s="13">
        <v>2025</v>
      </c>
      <c r="C110" s="4" t="s">
        <v>131</v>
      </c>
      <c r="D110" s="15">
        <f>IF('Dados brutos atualizados'!E110="","",'Dados brutos atualizados'!E110)</f>
        <v>200448446.615565</v>
      </c>
      <c r="E110" s="15">
        <f>IF(D110="","",D110*'Dados brutos atualizados'!G110)</f>
        <v>200448446615565</v>
      </c>
      <c r="F110" s="17">
        <f>IF(E110="","",Deflatores!E23)</f>
        <v>1</v>
      </c>
      <c r="G110" s="15">
        <f>IF(OR(E110="",F110=""),"",E110*F110)</f>
        <v>200448446615565</v>
      </c>
      <c r="H110" s="15">
        <f>IF('Dados tratados'!E118="","",'Dados tratados'!E118)</f>
        <v>47474000</v>
      </c>
      <c r="I110" s="15">
        <f>IF(OR(G110="",H110="",H110=0),"",G110/H110)</f>
        <v>4222278.4390522176</v>
      </c>
      <c r="J110" s="14"/>
      <c r="K110" s="14" t="s">
        <v>168</v>
      </c>
      <c r="L110" s="14" t="s">
        <v>135</v>
      </c>
      <c r="M110" s="18" t="s">
        <v>220</v>
      </c>
      <c r="N110" s="14" t="s">
        <v>136</v>
      </c>
    </row>
    <row r="111" spans="1:14" ht="24">
      <c r="A111" s="4" t="s">
        <v>119</v>
      </c>
      <c r="B111" s="13">
        <v>2025</v>
      </c>
      <c r="C111" s="4" t="s">
        <v>138</v>
      </c>
      <c r="D111" s="15">
        <f>IF('Dados brutos atualizados'!E111="","",'Dados brutos atualizados'!E111)</f>
        <v>41.9</v>
      </c>
      <c r="E111" s="15">
        <f>IF(D111="","",D111*'Dados brutos atualizados'!G111)</f>
        <v>41.9</v>
      </c>
      <c r="F111" s="4"/>
      <c r="G111" s="14"/>
      <c r="H111" s="14"/>
      <c r="I111" s="14"/>
      <c r="J111" s="15">
        <f>IF(D111="","",D111)</f>
        <v>41.9</v>
      </c>
      <c r="K111" s="14" t="s">
        <v>139</v>
      </c>
      <c r="L111" s="14" t="s">
        <v>148</v>
      </c>
      <c r="M111" s="18" t="s">
        <v>144</v>
      </c>
      <c r="N111" s="14" t="s">
        <v>143</v>
      </c>
    </row>
    <row r="112" spans="1:14" ht="24">
      <c r="A112" s="4" t="s">
        <v>119</v>
      </c>
      <c r="B112" s="13">
        <v>2025</v>
      </c>
      <c r="C112" s="4" t="s">
        <v>145</v>
      </c>
      <c r="D112" s="15">
        <f>IF('Dados brutos atualizados'!E112="","",'Dados brutos atualizados'!E112)</f>
        <v>683.58900000000006</v>
      </c>
      <c r="E112" s="15">
        <f>IF(D112="","",D112*'Dados brutos atualizados'!G112)</f>
        <v>683.58900000000006</v>
      </c>
      <c r="F112" s="4"/>
      <c r="G112" s="14"/>
      <c r="H112" s="14"/>
      <c r="I112" s="14"/>
      <c r="J112" s="15">
        <f>IF(D112="","",D112)</f>
        <v>683.58900000000006</v>
      </c>
      <c r="K112" s="14" t="s">
        <v>146</v>
      </c>
      <c r="L112" s="14" t="s">
        <v>148</v>
      </c>
      <c r="M112" s="18" t="s">
        <v>150</v>
      </c>
      <c r="N112" s="14" t="s">
        <v>149</v>
      </c>
    </row>
    <row r="113" spans="1:14" ht="24">
      <c r="A113" s="4" t="s">
        <v>119</v>
      </c>
      <c r="B113" s="13">
        <v>2025</v>
      </c>
      <c r="C113" s="4" t="s">
        <v>151</v>
      </c>
      <c r="D113" s="15">
        <f>IF('Dados brutos atualizados'!E113="","",'Dados brutos atualizados'!E113)</f>
        <v>4.5</v>
      </c>
      <c r="E113" s="15">
        <f>IF(D113="","",D113*'Dados brutos atualizados'!G113)</f>
        <v>4.5</v>
      </c>
      <c r="F113" s="4"/>
      <c r="G113" s="14"/>
      <c r="H113" s="14"/>
      <c r="I113" s="14"/>
      <c r="J113" s="15">
        <f>IF(D113="","",D113)</f>
        <v>4.5</v>
      </c>
      <c r="K113" s="14" t="s">
        <v>139</v>
      </c>
      <c r="L113" s="14" t="s">
        <v>148</v>
      </c>
      <c r="M113" s="18" t="s">
        <v>154</v>
      </c>
      <c r="N113" s="14" t="s">
        <v>153</v>
      </c>
    </row>
    <row r="114" spans="1:14" ht="24">
      <c r="A114" s="4" t="s">
        <v>119</v>
      </c>
      <c r="B114" s="13">
        <v>2025</v>
      </c>
      <c r="C114" s="4" t="s">
        <v>155</v>
      </c>
      <c r="D114" s="15" t="str">
        <f>IF('Dados brutos atualizados'!E114="","",'Dados brutos atualizados'!E114)</f>
        <v/>
      </c>
      <c r="E114" s="15" t="str">
        <f>IF(D114="","",D114*'Dados brutos atualizados'!G114)</f>
        <v/>
      </c>
      <c r="F114" s="4"/>
      <c r="G114" s="14"/>
      <c r="H114" s="14"/>
      <c r="I114" s="14"/>
      <c r="J114" s="15" t="str">
        <f>IF(D114="","",D114)</f>
        <v/>
      </c>
      <c r="K114" s="14" t="s">
        <v>156</v>
      </c>
      <c r="L114" s="14" t="s">
        <v>142</v>
      </c>
      <c r="M114" s="18" t="s">
        <v>161</v>
      </c>
      <c r="N114" s="14" t="s">
        <v>160</v>
      </c>
    </row>
    <row r="115" spans="1:14" ht="24">
      <c r="A115" s="4" t="s">
        <v>119</v>
      </c>
      <c r="B115" s="13">
        <v>2025</v>
      </c>
      <c r="C115" s="4" t="s">
        <v>162</v>
      </c>
      <c r="D115" s="15">
        <f>IF('Dados brutos atualizados'!E115="","",'Dados brutos atualizados'!E115)</f>
        <v>80.099999999999994</v>
      </c>
      <c r="E115" s="15">
        <f>IF(D115="","",D115*'Dados brutos atualizados'!G115)</f>
        <v>80.099999999999994</v>
      </c>
      <c r="F115" s="4"/>
      <c r="G115" s="14"/>
      <c r="H115" s="14"/>
      <c r="I115" s="14"/>
      <c r="J115" s="15">
        <f>IF(D115="","",D115)</f>
        <v>80.099999999999994</v>
      </c>
      <c r="K115" s="14" t="s">
        <v>163</v>
      </c>
      <c r="L115" s="14" t="s">
        <v>148</v>
      </c>
      <c r="M115" s="18" t="s">
        <v>166</v>
      </c>
      <c r="N115" s="14" t="s">
        <v>165</v>
      </c>
    </row>
    <row r="116" spans="1:14" ht="24">
      <c r="A116" s="4" t="s">
        <v>119</v>
      </c>
      <c r="B116" s="13">
        <v>2025</v>
      </c>
      <c r="C116" s="4" t="s">
        <v>167</v>
      </c>
      <c r="D116" s="15">
        <f>IF('Dados brutos atualizados'!E116="","",'Dados brutos atualizados'!E116)</f>
        <v>10315400</v>
      </c>
      <c r="E116" s="15">
        <f>IF(D116="","",D116*'Dados brutos atualizados'!G116)</f>
        <v>10315400000000</v>
      </c>
      <c r="F116" s="17">
        <f>IF(E116="","",Deflatores!E23)</f>
        <v>1</v>
      </c>
      <c r="G116" s="15">
        <f>IF(OR(E116="",F116=""),"",E116*F116)</f>
        <v>10315400000000</v>
      </c>
      <c r="H116" s="15">
        <f>IF('Dados tratados'!E118="","",'Dados tratados'!E118)</f>
        <v>47474000</v>
      </c>
      <c r="I116" s="15">
        <f>IF(OR(G116="",H116="",H116=0),"",G116/H116)</f>
        <v>217285.25087416271</v>
      </c>
      <c r="J116" s="14"/>
      <c r="K116" s="14" t="s">
        <v>168</v>
      </c>
      <c r="L116" s="14" t="s">
        <v>171</v>
      </c>
      <c r="M116" s="18" t="s">
        <v>173</v>
      </c>
      <c r="N116" s="14" t="s">
        <v>172</v>
      </c>
    </row>
    <row r="117" spans="1:14" ht="24">
      <c r="A117" s="4" t="s">
        <v>119</v>
      </c>
      <c r="B117" s="13">
        <v>2025</v>
      </c>
      <c r="C117" s="4" t="s">
        <v>174</v>
      </c>
      <c r="D117" s="15">
        <f>IF('Dados brutos atualizados'!E117="","",'Dados brutos atualizados'!E117)</f>
        <v>-0.15602148746002001</v>
      </c>
      <c r="E117" s="15">
        <f>IF(D117="","",D117*'Dados brutos atualizados'!G117)</f>
        <v>-0.15602148746002001</v>
      </c>
      <c r="F117" s="4"/>
      <c r="G117" s="14"/>
      <c r="H117" s="14"/>
      <c r="I117" s="14"/>
      <c r="J117" s="15">
        <f>IF(D117="","",D117)</f>
        <v>-0.15602148746002001</v>
      </c>
      <c r="K117" s="14" t="s">
        <v>156</v>
      </c>
      <c r="L117" s="14" t="s">
        <v>148</v>
      </c>
      <c r="M117" s="18" t="s">
        <v>178</v>
      </c>
      <c r="N117" s="14" t="s">
        <v>177</v>
      </c>
    </row>
    <row r="118" spans="1:14" ht="24">
      <c r="A118" s="4" t="s">
        <v>119</v>
      </c>
      <c r="B118" s="13">
        <v>2025</v>
      </c>
      <c r="C118" s="4" t="s">
        <v>179</v>
      </c>
      <c r="D118" s="15">
        <f>IF('Dados brutos atualizados'!E118="","",'Dados brutos atualizados'!E118)</f>
        <v>47.473999999999997</v>
      </c>
      <c r="E118" s="15">
        <f>IF(D118="","",D118*'Dados brutos atualizados'!G118)</f>
        <v>47474000</v>
      </c>
      <c r="F118" s="4"/>
      <c r="G118" s="14"/>
      <c r="H118" s="14"/>
      <c r="I118" s="14"/>
      <c r="J118" s="15">
        <f>IF(D118="","",D118)</f>
        <v>47.473999999999997</v>
      </c>
      <c r="K118" s="14" t="s">
        <v>180</v>
      </c>
      <c r="L118" s="14" t="s">
        <v>148</v>
      </c>
      <c r="M118" s="18" t="s">
        <v>183</v>
      </c>
      <c r="N118" s="14" t="s">
        <v>182</v>
      </c>
    </row>
    <row r="119" spans="1:14" ht="36">
      <c r="A119" s="4" t="s">
        <v>119</v>
      </c>
      <c r="B119" s="13">
        <v>2025</v>
      </c>
      <c r="C119" s="4" t="s">
        <v>184</v>
      </c>
      <c r="D119" s="15">
        <f>IF('Dados brutos atualizados'!E119="","",'Dados brutos atualizados'!E119)</f>
        <v>103974131.898352</v>
      </c>
      <c r="E119" s="14"/>
      <c r="F119" s="4"/>
      <c r="G119" s="14"/>
      <c r="H119" s="14"/>
      <c r="I119" s="14"/>
      <c r="J119" s="15">
        <f>IF(D119="","",D119)</f>
        <v>103974131.898352</v>
      </c>
      <c r="K119" s="14" t="s">
        <v>185</v>
      </c>
      <c r="L119" s="14" t="s">
        <v>188</v>
      </c>
      <c r="M119" s="18" t="s">
        <v>190</v>
      </c>
      <c r="N119" s="14" t="s">
        <v>189</v>
      </c>
    </row>
    <row r="120" spans="1:14" ht="24">
      <c r="A120" s="4" t="s">
        <v>119</v>
      </c>
      <c r="B120" s="13">
        <v>2025</v>
      </c>
      <c r="C120" s="4" t="s">
        <v>191</v>
      </c>
      <c r="D120" s="15">
        <f>IF('Dados brutos atualizados'!E120="","",'Dados brutos atualizados'!E120)</f>
        <v>1453819</v>
      </c>
      <c r="E120" s="15">
        <f>IF(D120="","",D120*'Dados brutos atualizados'!G120)</f>
        <v>1453819000000</v>
      </c>
      <c r="F120" s="17">
        <f>IF(E120="","",Deflatores!E23)</f>
        <v>1</v>
      </c>
      <c r="G120" s="15">
        <f>IF(OR(E120="",F120=""),"",E120*F120)</f>
        <v>1453819000000</v>
      </c>
      <c r="H120" s="15">
        <f>IF('Dados tratados'!E118="","",'Dados tratados'!E118)</f>
        <v>47474000</v>
      </c>
      <c r="I120" s="15">
        <f>IF(OR(G120="",H120="",H120=0),"",G120/H120)</f>
        <v>30623.478114336267</v>
      </c>
      <c r="J120" s="14"/>
      <c r="K120" s="14" t="s">
        <v>168</v>
      </c>
      <c r="L120" s="14" t="s">
        <v>171</v>
      </c>
      <c r="M120" s="18" t="s">
        <v>173</v>
      </c>
      <c r="N120" s="14" t="s">
        <v>172</v>
      </c>
    </row>
    <row r="121" spans="1:14" ht="24">
      <c r="A121" s="4" t="s">
        <v>119</v>
      </c>
      <c r="B121" s="13">
        <v>2025</v>
      </c>
      <c r="C121" s="4" t="s">
        <v>192</v>
      </c>
      <c r="D121" s="15">
        <f>IF('Dados brutos atualizados'!E121="","",'Dados brutos atualizados'!E121)</f>
        <v>11769219</v>
      </c>
      <c r="E121" s="15">
        <f>IF(D121="","",D121*'Dados brutos atualizados'!G121)</f>
        <v>11769219000000</v>
      </c>
      <c r="F121" s="17">
        <f>IF(E121="","",Deflatores!E23)</f>
        <v>1</v>
      </c>
      <c r="G121" s="15">
        <f>IF(OR(E121="",F121=""),"",E121*F121)</f>
        <v>11769219000000</v>
      </c>
      <c r="H121" s="15">
        <f>IF('Dados tratados'!E118="","",'Dados tratados'!E118)</f>
        <v>47474000</v>
      </c>
      <c r="I121" s="15">
        <f>IF(OR(G121="",H121="",H121=0),"",G121/H121)</f>
        <v>247908.72898849897</v>
      </c>
      <c r="J121" s="14"/>
      <c r="K121" s="14" t="s">
        <v>168</v>
      </c>
      <c r="L121" s="14" t="s">
        <v>171</v>
      </c>
      <c r="M121" s="18" t="s">
        <v>173</v>
      </c>
      <c r="N121" s="14" t="s">
        <v>172</v>
      </c>
    </row>
    <row r="122" spans="1:14" ht="15.75">
      <c r="A122" s="4" t="s">
        <v>117</v>
      </c>
      <c r="B122" s="13">
        <v>2005</v>
      </c>
      <c r="C122" s="4" t="s">
        <v>374</v>
      </c>
      <c r="D122" s="15">
        <f>IF('Dados brutos atualizados'!E266="","",'Dados brutos atualizados'!E266)</f>
        <v>4.1219999999999999</v>
      </c>
      <c r="E122" s="15">
        <f>IF(D122="","",D122*'Dados brutos atualizados'!G266)</f>
        <v>4.1219999999999999</v>
      </c>
      <c r="F122" s="4"/>
      <c r="G122" s="14"/>
      <c r="H122" s="14"/>
      <c r="I122" s="14"/>
      <c r="J122" s="15">
        <f t="shared" ref="J122:J139" si="0">IF(D122="","",D122)</f>
        <v>4.1219999999999999</v>
      </c>
      <c r="K122" s="14" t="s">
        <v>375</v>
      </c>
      <c r="L122" s="14" t="s">
        <v>378</v>
      </c>
      <c r="M122" s="18" t="s">
        <v>380</v>
      </c>
      <c r="N122" s="14" t="s">
        <v>379</v>
      </c>
    </row>
    <row r="123" spans="1:14" ht="15.75">
      <c r="A123" s="4" t="s">
        <v>117</v>
      </c>
      <c r="B123" s="13">
        <v>2005</v>
      </c>
      <c r="C123" s="4" t="s">
        <v>381</v>
      </c>
      <c r="D123" s="15">
        <f>IF('Dados brutos atualizados'!E267="","",'Dados brutos atualizados'!E267)</f>
        <v>4.2191720000000004</v>
      </c>
      <c r="E123" s="15">
        <f>IF(D123="","",D123*'Dados brutos atualizados'!G267)</f>
        <v>4.2191720000000004</v>
      </c>
      <c r="F123" s="4"/>
      <c r="G123" s="14"/>
      <c r="H123" s="14"/>
      <c r="I123" s="14"/>
      <c r="J123" s="15">
        <f t="shared" si="0"/>
        <v>4.2191720000000004</v>
      </c>
      <c r="K123" s="14" t="s">
        <v>375</v>
      </c>
      <c r="L123" s="14" t="s">
        <v>378</v>
      </c>
      <c r="M123" s="18" t="s">
        <v>382</v>
      </c>
      <c r="N123" s="14" t="s">
        <v>379</v>
      </c>
    </row>
    <row r="124" spans="1:14" ht="15.75">
      <c r="A124" s="4" t="s">
        <v>117</v>
      </c>
      <c r="B124" s="13">
        <v>2005</v>
      </c>
      <c r="C124" s="4" t="s">
        <v>383</v>
      </c>
      <c r="D124" s="15">
        <f>IF('Dados brutos atualizados'!E268="","",'Dados brutos atualizados'!E268)</f>
        <v>0.61120699999999994</v>
      </c>
      <c r="E124" s="15">
        <f>IF(D124="","",D124*'Dados brutos atualizados'!G268)</f>
        <v>0.61120699999999994</v>
      </c>
      <c r="F124" s="4"/>
      <c r="G124" s="14"/>
      <c r="H124" s="14"/>
      <c r="I124" s="14"/>
      <c r="J124" s="15">
        <f t="shared" si="0"/>
        <v>0.61120699999999994</v>
      </c>
      <c r="K124" s="14" t="s">
        <v>384</v>
      </c>
      <c r="L124" s="14" t="s">
        <v>378</v>
      </c>
      <c r="M124" s="18" t="s">
        <v>380</v>
      </c>
      <c r="N124" s="14" t="s">
        <v>379</v>
      </c>
    </row>
    <row r="125" spans="1:14" ht="15.75">
      <c r="A125" s="4" t="s">
        <v>117</v>
      </c>
      <c r="B125" s="13">
        <v>2005</v>
      </c>
      <c r="C125" s="4" t="s">
        <v>386</v>
      </c>
      <c r="D125" s="15">
        <f>IF('Dados brutos atualizados'!E269="","",'Dados brutos atualizados'!E269)</f>
        <v>0.76417599999999997</v>
      </c>
      <c r="E125" s="15">
        <f>IF(D125="","",D125*'Dados brutos atualizados'!G269)</f>
        <v>0.76417599999999997</v>
      </c>
      <c r="F125" s="4"/>
      <c r="G125" s="14"/>
      <c r="H125" s="14"/>
      <c r="I125" s="14"/>
      <c r="J125" s="15">
        <f t="shared" si="0"/>
        <v>0.76417599999999997</v>
      </c>
      <c r="K125" s="14" t="s">
        <v>384</v>
      </c>
      <c r="L125" s="14" t="s">
        <v>378</v>
      </c>
      <c r="M125" s="18" t="s">
        <v>382</v>
      </c>
      <c r="N125" s="14" t="s">
        <v>379</v>
      </c>
    </row>
    <row r="126" spans="1:14" ht="24">
      <c r="A126" s="4" t="s">
        <v>117</v>
      </c>
      <c r="B126" s="13">
        <v>2005</v>
      </c>
      <c r="C126" s="4" t="s">
        <v>587</v>
      </c>
      <c r="D126" s="15">
        <f>IF(OR('Dados brutos atualizados'!E268="",'Dados brutos atualizados'!E266=""),"",'Dados brutos atualizados'!E268*'Dados brutos atualizados'!E266)</f>
        <v>2.5193952539999995</v>
      </c>
      <c r="E126" s="15">
        <f>IF(D126="","",D126)</f>
        <v>2.5193952539999995</v>
      </c>
      <c r="F126" s="4"/>
      <c r="G126" s="14"/>
      <c r="H126" s="14"/>
      <c r="I126" s="14"/>
      <c r="J126" s="15">
        <f t="shared" si="0"/>
        <v>2.5193952539999995</v>
      </c>
      <c r="K126" s="14" t="s">
        <v>588</v>
      </c>
      <c r="L126" s="14" t="s">
        <v>589</v>
      </c>
      <c r="M126" s="18" t="s">
        <v>380</v>
      </c>
      <c r="N126" s="14" t="s">
        <v>590</v>
      </c>
    </row>
    <row r="127" spans="1:14" ht="24">
      <c r="A127" s="4" t="s">
        <v>117</v>
      </c>
      <c r="B127" s="13">
        <v>2005</v>
      </c>
      <c r="C127" s="4" t="s">
        <v>591</v>
      </c>
      <c r="D127" s="15">
        <f>IF(OR('Dados brutos atualizados'!E269="",'Dados brutos atualizados'!E267=""),"",'Dados brutos atualizados'!E269*'Dados brutos atualizados'!E267)</f>
        <v>3.2241899822720002</v>
      </c>
      <c r="E127" s="15">
        <f>IF(D127="","",D127)</f>
        <v>3.2241899822720002</v>
      </c>
      <c r="F127" s="4"/>
      <c r="G127" s="14"/>
      <c r="H127" s="14"/>
      <c r="I127" s="14"/>
      <c r="J127" s="15">
        <f t="shared" si="0"/>
        <v>3.2241899822720002</v>
      </c>
      <c r="K127" s="14" t="s">
        <v>588</v>
      </c>
      <c r="L127" s="14" t="s">
        <v>589</v>
      </c>
      <c r="M127" s="18" t="s">
        <v>382</v>
      </c>
      <c r="N127" s="14" t="s">
        <v>590</v>
      </c>
    </row>
    <row r="128" spans="1:14" ht="15.75">
      <c r="A128" s="4" t="s">
        <v>117</v>
      </c>
      <c r="B128" s="13">
        <v>2007</v>
      </c>
      <c r="C128" s="4" t="s">
        <v>374</v>
      </c>
      <c r="D128" s="15">
        <f>IF('Dados brutos atualizados'!E270="","",'Dados brutos atualizados'!E270)</f>
        <v>4.1775000000000002</v>
      </c>
      <c r="E128" s="15">
        <f>IF(D128="","",D128*'Dados brutos atualizados'!G270)</f>
        <v>4.1775000000000002</v>
      </c>
      <c r="F128" s="4"/>
      <c r="G128" s="14"/>
      <c r="H128" s="14"/>
      <c r="I128" s="14"/>
      <c r="J128" s="15">
        <f t="shared" si="0"/>
        <v>4.1775000000000002</v>
      </c>
      <c r="K128" s="14" t="s">
        <v>375</v>
      </c>
      <c r="L128" s="14" t="s">
        <v>378</v>
      </c>
      <c r="M128" s="18" t="s">
        <v>380</v>
      </c>
      <c r="N128" s="14" t="s">
        <v>379</v>
      </c>
    </row>
    <row r="129" spans="1:14" ht="15.75">
      <c r="A129" s="4" t="s">
        <v>117</v>
      </c>
      <c r="B129" s="13">
        <v>2007</v>
      </c>
      <c r="C129" s="4" t="s">
        <v>381</v>
      </c>
      <c r="D129" s="15">
        <f>IF('Dados brutos atualizados'!E271="","",'Dados brutos atualizados'!E271)</f>
        <v>4.3879380000000001</v>
      </c>
      <c r="E129" s="15">
        <f>IF(D129="","",D129*'Dados brutos atualizados'!G271)</f>
        <v>4.3879380000000001</v>
      </c>
      <c r="F129" s="4"/>
      <c r="G129" s="14"/>
      <c r="H129" s="14"/>
      <c r="I129" s="14"/>
      <c r="J129" s="15">
        <f t="shared" si="0"/>
        <v>4.3879380000000001</v>
      </c>
      <c r="K129" s="14" t="s">
        <v>375</v>
      </c>
      <c r="L129" s="14" t="s">
        <v>378</v>
      </c>
      <c r="M129" s="18" t="s">
        <v>382</v>
      </c>
      <c r="N129" s="14" t="s">
        <v>379</v>
      </c>
    </row>
    <row r="130" spans="1:14" ht="15.75">
      <c r="A130" s="4" t="s">
        <v>117</v>
      </c>
      <c r="B130" s="13">
        <v>2007</v>
      </c>
      <c r="C130" s="4" t="s">
        <v>383</v>
      </c>
      <c r="D130" s="15">
        <f>IF('Dados brutos atualizados'!E272="","",'Dados brutos atualizados'!E272)</f>
        <v>0.63752200000000003</v>
      </c>
      <c r="E130" s="15">
        <f>IF(D130="","",D130*'Dados brutos atualizados'!G272)</f>
        <v>0.63752200000000003</v>
      </c>
      <c r="F130" s="4"/>
      <c r="G130" s="14"/>
      <c r="H130" s="14"/>
      <c r="I130" s="14"/>
      <c r="J130" s="15">
        <f t="shared" si="0"/>
        <v>0.63752200000000003</v>
      </c>
      <c r="K130" s="14" t="s">
        <v>384</v>
      </c>
      <c r="L130" s="14" t="s">
        <v>378</v>
      </c>
      <c r="M130" s="18" t="s">
        <v>380</v>
      </c>
      <c r="N130" s="14" t="s">
        <v>379</v>
      </c>
    </row>
    <row r="131" spans="1:14" ht="15.75">
      <c r="A131" s="4" t="s">
        <v>117</v>
      </c>
      <c r="B131" s="13">
        <v>2007</v>
      </c>
      <c r="C131" s="4" t="s">
        <v>386</v>
      </c>
      <c r="D131" s="15">
        <f>IF('Dados brutos atualizados'!E273="","",'Dados brutos atualizados'!E273)</f>
        <v>0.78368199999999999</v>
      </c>
      <c r="E131" s="15">
        <f>IF(D131="","",D131*'Dados brutos atualizados'!G273)</f>
        <v>0.78368199999999999</v>
      </c>
      <c r="F131" s="4"/>
      <c r="G131" s="14"/>
      <c r="H131" s="14"/>
      <c r="I131" s="14"/>
      <c r="J131" s="15">
        <f t="shared" si="0"/>
        <v>0.78368199999999999</v>
      </c>
      <c r="K131" s="14" t="s">
        <v>384</v>
      </c>
      <c r="L131" s="14" t="s">
        <v>378</v>
      </c>
      <c r="M131" s="18" t="s">
        <v>382</v>
      </c>
      <c r="N131" s="14" t="s">
        <v>379</v>
      </c>
    </row>
    <row r="132" spans="1:14" ht="24">
      <c r="A132" s="4" t="s">
        <v>117</v>
      </c>
      <c r="B132" s="13">
        <v>2007</v>
      </c>
      <c r="C132" s="4" t="s">
        <v>587</v>
      </c>
      <c r="D132" s="15">
        <f>IF(OR('Dados brutos atualizados'!E272="",'Dados brutos atualizados'!E270=""),"",'Dados brutos atualizados'!E272*'Dados brutos atualizados'!E270)</f>
        <v>2.6632481550000002</v>
      </c>
      <c r="E132" s="15">
        <f>IF(D132="","",D132)</f>
        <v>2.6632481550000002</v>
      </c>
      <c r="F132" s="4"/>
      <c r="G132" s="14"/>
      <c r="H132" s="14"/>
      <c r="I132" s="14"/>
      <c r="J132" s="15">
        <f t="shared" si="0"/>
        <v>2.6632481550000002</v>
      </c>
      <c r="K132" s="14" t="s">
        <v>588</v>
      </c>
      <c r="L132" s="14" t="s">
        <v>589</v>
      </c>
      <c r="M132" s="18" t="s">
        <v>380</v>
      </c>
      <c r="N132" s="14" t="s">
        <v>590</v>
      </c>
    </row>
    <row r="133" spans="1:14" ht="24">
      <c r="A133" s="4" t="s">
        <v>117</v>
      </c>
      <c r="B133" s="13">
        <v>2007</v>
      </c>
      <c r="C133" s="4" t="s">
        <v>591</v>
      </c>
      <c r="D133" s="15">
        <f>IF(OR('Dados brutos atualizados'!E273="",'Dados brutos atualizados'!E271=""),"",'Dados brutos atualizados'!E273*'Dados brutos atualizados'!E271)</f>
        <v>3.4387480277160001</v>
      </c>
      <c r="E133" s="15">
        <f>IF(D133="","",D133)</f>
        <v>3.4387480277160001</v>
      </c>
      <c r="F133" s="4"/>
      <c r="G133" s="14"/>
      <c r="H133" s="14"/>
      <c r="I133" s="14"/>
      <c r="J133" s="15">
        <f t="shared" si="0"/>
        <v>3.4387480277160001</v>
      </c>
      <c r="K133" s="14" t="s">
        <v>588</v>
      </c>
      <c r="L133" s="14" t="s">
        <v>589</v>
      </c>
      <c r="M133" s="18" t="s">
        <v>382</v>
      </c>
      <c r="N133" s="14" t="s">
        <v>590</v>
      </c>
    </row>
    <row r="134" spans="1:14" ht="15.75">
      <c r="A134" s="4" t="s">
        <v>117</v>
      </c>
      <c r="B134" s="13">
        <v>2009</v>
      </c>
      <c r="C134" s="4" t="s">
        <v>374</v>
      </c>
      <c r="D134" s="15">
        <f>IF('Dados brutos atualizados'!E274="","",'Dados brutos atualizados'!E274)</f>
        <v>4.4424999999999999</v>
      </c>
      <c r="E134" s="15">
        <f>IF(D134="","",D134*'Dados brutos atualizados'!G274)</f>
        <v>4.4424999999999999</v>
      </c>
      <c r="F134" s="4"/>
      <c r="G134" s="14"/>
      <c r="H134" s="14"/>
      <c r="I134" s="14"/>
      <c r="J134" s="15">
        <f t="shared" si="0"/>
        <v>4.4424999999999999</v>
      </c>
      <c r="K134" s="14" t="s">
        <v>375</v>
      </c>
      <c r="L134" s="14" t="s">
        <v>378</v>
      </c>
      <c r="M134" s="18" t="s">
        <v>380</v>
      </c>
      <c r="N134" s="14" t="s">
        <v>379</v>
      </c>
    </row>
    <row r="135" spans="1:14" ht="15.75">
      <c r="A135" s="4" t="s">
        <v>117</v>
      </c>
      <c r="B135" s="13">
        <v>2009</v>
      </c>
      <c r="C135" s="4" t="s">
        <v>381</v>
      </c>
      <c r="D135" s="15">
        <f>IF('Dados brutos atualizados'!E275="","",'Dados brutos atualizados'!E275)</f>
        <v>4.7157450000000001</v>
      </c>
      <c r="E135" s="15">
        <f>IF(D135="","",D135*'Dados brutos atualizados'!G275)</f>
        <v>4.7157450000000001</v>
      </c>
      <c r="F135" s="4"/>
      <c r="G135" s="14"/>
      <c r="H135" s="14"/>
      <c r="I135" s="14"/>
      <c r="J135" s="15">
        <f t="shared" si="0"/>
        <v>4.7157450000000001</v>
      </c>
      <c r="K135" s="14" t="s">
        <v>375</v>
      </c>
      <c r="L135" s="14" t="s">
        <v>378</v>
      </c>
      <c r="M135" s="18" t="s">
        <v>382</v>
      </c>
      <c r="N135" s="14" t="s">
        <v>379</v>
      </c>
    </row>
    <row r="136" spans="1:14" ht="15.75">
      <c r="A136" s="4" t="s">
        <v>117</v>
      </c>
      <c r="B136" s="13">
        <v>2009</v>
      </c>
      <c r="C136" s="4" t="s">
        <v>383</v>
      </c>
      <c r="D136" s="15">
        <f>IF('Dados brutos atualizados'!E276="","",'Dados brutos atualizados'!E276)</f>
        <v>0.73947600000000002</v>
      </c>
      <c r="E136" s="15">
        <f>IF(D136="","",D136*'Dados brutos atualizados'!G276)</f>
        <v>0.73947600000000002</v>
      </c>
      <c r="F136" s="4"/>
      <c r="G136" s="14"/>
      <c r="H136" s="14"/>
      <c r="I136" s="14"/>
      <c r="J136" s="15">
        <f t="shared" si="0"/>
        <v>0.73947600000000002</v>
      </c>
      <c r="K136" s="14" t="s">
        <v>384</v>
      </c>
      <c r="L136" s="14" t="s">
        <v>378</v>
      </c>
      <c r="M136" s="18" t="s">
        <v>380</v>
      </c>
      <c r="N136" s="14" t="s">
        <v>379</v>
      </c>
    </row>
    <row r="137" spans="1:14" ht="15.75">
      <c r="A137" s="4" t="s">
        <v>117</v>
      </c>
      <c r="B137" s="13">
        <v>2009</v>
      </c>
      <c r="C137" s="4" t="s">
        <v>386</v>
      </c>
      <c r="D137" s="15">
        <f>IF('Dados brutos atualizados'!E277="","",'Dados brutos atualizados'!E277)</f>
        <v>0.81912700000000005</v>
      </c>
      <c r="E137" s="15">
        <f>IF(D137="","",D137*'Dados brutos atualizados'!G277)</f>
        <v>0.81912700000000005</v>
      </c>
      <c r="F137" s="4"/>
      <c r="G137" s="14"/>
      <c r="H137" s="14"/>
      <c r="I137" s="14"/>
      <c r="J137" s="15">
        <f t="shared" si="0"/>
        <v>0.81912700000000005</v>
      </c>
      <c r="K137" s="14" t="s">
        <v>384</v>
      </c>
      <c r="L137" s="14" t="s">
        <v>378</v>
      </c>
      <c r="M137" s="18" t="s">
        <v>382</v>
      </c>
      <c r="N137" s="14" t="s">
        <v>379</v>
      </c>
    </row>
    <row r="138" spans="1:14" ht="24">
      <c r="A138" s="4" t="s">
        <v>117</v>
      </c>
      <c r="B138" s="13">
        <v>2009</v>
      </c>
      <c r="C138" s="4" t="s">
        <v>587</v>
      </c>
      <c r="D138" s="15">
        <f>IF(OR('Dados brutos atualizados'!E276="",'Dados brutos atualizados'!E274=""),"",'Dados brutos atualizados'!E276*'Dados brutos atualizados'!E274)</f>
        <v>3.28512213</v>
      </c>
      <c r="E138" s="15">
        <f>IF(D138="","",D138)</f>
        <v>3.28512213</v>
      </c>
      <c r="F138" s="4"/>
      <c r="G138" s="14"/>
      <c r="H138" s="14"/>
      <c r="I138" s="14"/>
      <c r="J138" s="15">
        <f t="shared" si="0"/>
        <v>3.28512213</v>
      </c>
      <c r="K138" s="14" t="s">
        <v>588</v>
      </c>
      <c r="L138" s="14" t="s">
        <v>589</v>
      </c>
      <c r="M138" s="18" t="s">
        <v>380</v>
      </c>
      <c r="N138" s="14" t="s">
        <v>590</v>
      </c>
    </row>
    <row r="139" spans="1:14" ht="24">
      <c r="A139" s="4" t="s">
        <v>117</v>
      </c>
      <c r="B139" s="13">
        <v>2009</v>
      </c>
      <c r="C139" s="4" t="s">
        <v>591</v>
      </c>
      <c r="D139" s="15">
        <f>IF(OR('Dados brutos atualizados'!E277="",'Dados brutos atualizados'!E275=""),"",'Dados brutos atualizados'!E277*'Dados brutos atualizados'!E275)</f>
        <v>3.8627940546150001</v>
      </c>
      <c r="E139" s="15">
        <f>IF(D139="","",D139)</f>
        <v>3.8627940546150001</v>
      </c>
      <c r="F139" s="4"/>
      <c r="G139" s="14"/>
      <c r="H139" s="14"/>
      <c r="I139" s="14"/>
      <c r="J139" s="15">
        <f t="shared" si="0"/>
        <v>3.8627940546150001</v>
      </c>
      <c r="K139" s="14" t="s">
        <v>588</v>
      </c>
      <c r="L139" s="14" t="s">
        <v>589</v>
      </c>
      <c r="M139" s="18" t="s">
        <v>382</v>
      </c>
      <c r="N139" s="14" t="s">
        <v>590</v>
      </c>
    </row>
    <row r="140" spans="1:14" ht="24">
      <c r="A140" s="4" t="s">
        <v>117</v>
      </c>
      <c r="B140" s="13">
        <v>2010</v>
      </c>
      <c r="C140" s="4" t="s">
        <v>394</v>
      </c>
      <c r="D140" s="15">
        <f>IF('Dados brutos atualizados'!E278="","",'Dados brutos atualizados'!E278)</f>
        <v>37001830.765000001</v>
      </c>
      <c r="E140" s="15">
        <f>IF(D140="","",D140*'Dados brutos atualizados'!G278)</f>
        <v>37001830765</v>
      </c>
      <c r="F140" s="4"/>
      <c r="G140" s="15" t="str">
        <f>IF(OR(E140="",F140=""),"",E140*F140)</f>
        <v/>
      </c>
      <c r="H140" s="14"/>
      <c r="I140" s="15" t="str">
        <f>IF(OR(G140="",H140="",H140=0),"",G140/H140)</f>
        <v/>
      </c>
      <c r="J140" s="14"/>
      <c r="K140" s="14" t="s">
        <v>395</v>
      </c>
      <c r="L140" s="14" t="s">
        <v>135</v>
      </c>
      <c r="M140" s="18" t="s">
        <v>399</v>
      </c>
      <c r="N140" s="14" t="s">
        <v>398</v>
      </c>
    </row>
    <row r="141" spans="1:14" ht="24">
      <c r="A141" s="4" t="s">
        <v>117</v>
      </c>
      <c r="B141" s="13">
        <v>2010</v>
      </c>
      <c r="C141" s="4" t="s">
        <v>400</v>
      </c>
      <c r="D141" s="15">
        <f>IF('Dados brutos atualizados'!E279="","",'Dados brutos atualizados'!E279)</f>
        <v>15118.78</v>
      </c>
      <c r="E141" s="15">
        <f>IF(D141="","",D141*'Dados brutos atualizados'!G279)</f>
        <v>15118.78</v>
      </c>
      <c r="F141" s="4"/>
      <c r="G141" s="15" t="str">
        <f>IF(OR(E141="",F141=""),"",E141*F141)</f>
        <v/>
      </c>
      <c r="H141" s="14"/>
      <c r="I141" s="14"/>
      <c r="J141" s="14"/>
      <c r="K141" s="14" t="s">
        <v>401</v>
      </c>
      <c r="L141" s="14" t="s">
        <v>135</v>
      </c>
      <c r="M141" s="18" t="s">
        <v>399</v>
      </c>
      <c r="N141" s="14" t="s">
        <v>404</v>
      </c>
    </row>
    <row r="142" spans="1:14" ht="15.75">
      <c r="A142" s="4" t="s">
        <v>117</v>
      </c>
      <c r="B142" s="13">
        <v>2011</v>
      </c>
      <c r="C142" s="4" t="s">
        <v>374</v>
      </c>
      <c r="D142" s="15">
        <f>IF('Dados brutos atualizados'!E280="","",'Dados brutos atualizados'!E280)</f>
        <v>4.6494999999999997</v>
      </c>
      <c r="E142" s="15">
        <f>IF(D142="","",D142*'Dados brutos atualizados'!G280)</f>
        <v>4.6494999999999997</v>
      </c>
      <c r="F142" s="4"/>
      <c r="G142" s="14"/>
      <c r="H142" s="14"/>
      <c r="I142" s="14"/>
      <c r="J142" s="15">
        <f t="shared" ref="J142:J147" si="1">IF(D142="","",D142)</f>
        <v>4.6494999999999997</v>
      </c>
      <c r="K142" s="14" t="s">
        <v>375</v>
      </c>
      <c r="L142" s="14" t="s">
        <v>378</v>
      </c>
      <c r="M142" s="18" t="s">
        <v>380</v>
      </c>
      <c r="N142" s="14" t="s">
        <v>379</v>
      </c>
    </row>
    <row r="143" spans="1:14" ht="15.75">
      <c r="A143" s="4" t="s">
        <v>117</v>
      </c>
      <c r="B143" s="13">
        <v>2011</v>
      </c>
      <c r="C143" s="4" t="s">
        <v>381</v>
      </c>
      <c r="D143" s="15">
        <f>IF('Dados brutos atualizados'!E281="","",'Dados brutos atualizados'!E281)</f>
        <v>5.0149629999999998</v>
      </c>
      <c r="E143" s="15">
        <f>IF(D143="","",D143*'Dados brutos atualizados'!G281)</f>
        <v>5.0149629999999998</v>
      </c>
      <c r="F143" s="4"/>
      <c r="G143" s="14"/>
      <c r="H143" s="14"/>
      <c r="I143" s="14"/>
      <c r="J143" s="15">
        <f t="shared" si="1"/>
        <v>5.0149629999999998</v>
      </c>
      <c r="K143" s="14" t="s">
        <v>375</v>
      </c>
      <c r="L143" s="14" t="s">
        <v>378</v>
      </c>
      <c r="M143" s="18" t="s">
        <v>382</v>
      </c>
      <c r="N143" s="14" t="s">
        <v>379</v>
      </c>
    </row>
    <row r="144" spans="1:14" ht="15.75">
      <c r="A144" s="4" t="s">
        <v>117</v>
      </c>
      <c r="B144" s="13">
        <v>2011</v>
      </c>
      <c r="C144" s="4" t="s">
        <v>383</v>
      </c>
      <c r="D144" s="15">
        <f>IF('Dados brutos atualizados'!E282="","",'Dados brutos atualizados'!E282)</f>
        <v>0.75220500000000001</v>
      </c>
      <c r="E144" s="15">
        <f>IF(D144="","",D144*'Dados brutos atualizados'!G282)</f>
        <v>0.75220500000000001</v>
      </c>
      <c r="F144" s="4"/>
      <c r="G144" s="14"/>
      <c r="H144" s="14"/>
      <c r="I144" s="14"/>
      <c r="J144" s="15">
        <f t="shared" si="1"/>
        <v>0.75220500000000001</v>
      </c>
      <c r="K144" s="14" t="s">
        <v>384</v>
      </c>
      <c r="L144" s="14" t="s">
        <v>378</v>
      </c>
      <c r="M144" s="18" t="s">
        <v>380</v>
      </c>
      <c r="N144" s="14" t="s">
        <v>379</v>
      </c>
    </row>
    <row r="145" spans="1:14" ht="15.75">
      <c r="A145" s="4" t="s">
        <v>117</v>
      </c>
      <c r="B145" s="13">
        <v>2011</v>
      </c>
      <c r="C145" s="4" t="s">
        <v>386</v>
      </c>
      <c r="D145" s="15">
        <f>IF('Dados brutos atualizados'!E283="","",'Dados brutos atualizados'!E283)</f>
        <v>0.84144099999999999</v>
      </c>
      <c r="E145" s="15">
        <f>IF(D145="","",D145*'Dados brutos atualizados'!G283)</f>
        <v>0.84144099999999999</v>
      </c>
      <c r="F145" s="4"/>
      <c r="G145" s="14"/>
      <c r="H145" s="14"/>
      <c r="I145" s="14"/>
      <c r="J145" s="15">
        <f t="shared" si="1"/>
        <v>0.84144099999999999</v>
      </c>
      <c r="K145" s="14" t="s">
        <v>384</v>
      </c>
      <c r="L145" s="14" t="s">
        <v>378</v>
      </c>
      <c r="M145" s="18" t="s">
        <v>382</v>
      </c>
      <c r="N145" s="14" t="s">
        <v>379</v>
      </c>
    </row>
    <row r="146" spans="1:14" ht="24">
      <c r="A146" s="4" t="s">
        <v>117</v>
      </c>
      <c r="B146" s="13">
        <v>2011</v>
      </c>
      <c r="C146" s="4" t="s">
        <v>587</v>
      </c>
      <c r="D146" s="15">
        <f>IF(OR('Dados brutos atualizados'!E282="",'Dados brutos atualizados'!E280=""),"",'Dados brutos atualizados'!E282*'Dados brutos atualizados'!E280)</f>
        <v>3.4973771474999999</v>
      </c>
      <c r="E146" s="15">
        <f>IF(D146="","",D146)</f>
        <v>3.4973771474999999</v>
      </c>
      <c r="F146" s="4"/>
      <c r="G146" s="14"/>
      <c r="H146" s="14"/>
      <c r="I146" s="14"/>
      <c r="J146" s="15">
        <f t="shared" si="1"/>
        <v>3.4973771474999999</v>
      </c>
      <c r="K146" s="14" t="s">
        <v>588</v>
      </c>
      <c r="L146" s="14" t="s">
        <v>589</v>
      </c>
      <c r="M146" s="18" t="s">
        <v>380</v>
      </c>
      <c r="N146" s="14" t="s">
        <v>590</v>
      </c>
    </row>
    <row r="147" spans="1:14" ht="24">
      <c r="A147" s="4" t="s">
        <v>117</v>
      </c>
      <c r="B147" s="13">
        <v>2011</v>
      </c>
      <c r="C147" s="4" t="s">
        <v>591</v>
      </c>
      <c r="D147" s="15">
        <f>IF(OR('Dados brutos atualizados'!E283="",'Dados brutos atualizados'!E281=""),"",'Dados brutos atualizados'!E283*'Dados brutos atualizados'!E281)</f>
        <v>4.2197954816829997</v>
      </c>
      <c r="E147" s="15">
        <f>IF(D147="","",D147)</f>
        <v>4.2197954816829997</v>
      </c>
      <c r="F147" s="4"/>
      <c r="G147" s="14"/>
      <c r="H147" s="14"/>
      <c r="I147" s="14"/>
      <c r="J147" s="15">
        <f t="shared" si="1"/>
        <v>4.2197954816829997</v>
      </c>
      <c r="K147" s="14" t="s">
        <v>588</v>
      </c>
      <c r="L147" s="14" t="s">
        <v>589</v>
      </c>
      <c r="M147" s="18" t="s">
        <v>382</v>
      </c>
      <c r="N147" s="14" t="s">
        <v>590</v>
      </c>
    </row>
    <row r="148" spans="1:14" ht="24">
      <c r="A148" s="4" t="s">
        <v>117</v>
      </c>
      <c r="B148" s="13">
        <v>2011</v>
      </c>
      <c r="C148" s="4" t="s">
        <v>394</v>
      </c>
      <c r="D148" s="15">
        <f>IF('Dados brutos atualizados'!E284="","",'Dados brutos atualizados'!E284)</f>
        <v>41394560.649999999</v>
      </c>
      <c r="E148" s="15">
        <f>IF(D148="","",D148*'Dados brutos atualizados'!G284)</f>
        <v>41394560650</v>
      </c>
      <c r="F148" s="4"/>
      <c r="G148" s="15" t="str">
        <f>IF(OR(E148="",F148=""),"",E148*F148)</f>
        <v/>
      </c>
      <c r="H148" s="14"/>
      <c r="I148" s="15" t="str">
        <f>IF(OR(G148="",H148="",H148=0),"",G148/H148)</f>
        <v/>
      </c>
      <c r="J148" s="14"/>
      <c r="K148" s="14" t="s">
        <v>395</v>
      </c>
      <c r="L148" s="14" t="s">
        <v>135</v>
      </c>
      <c r="M148" s="18" t="s">
        <v>399</v>
      </c>
      <c r="N148" s="14" t="s">
        <v>398</v>
      </c>
    </row>
    <row r="149" spans="1:14" ht="24">
      <c r="A149" s="4" t="s">
        <v>117</v>
      </c>
      <c r="B149" s="13">
        <v>2011</v>
      </c>
      <c r="C149" s="4" t="s">
        <v>400</v>
      </c>
      <c r="D149" s="15">
        <f>IF('Dados brutos atualizados'!E285="","",'Dados brutos atualizados'!E285)</f>
        <v>16714.34</v>
      </c>
      <c r="E149" s="15">
        <f>IF(D149="","",D149*'Dados brutos atualizados'!G285)</f>
        <v>16714.34</v>
      </c>
      <c r="F149" s="4"/>
      <c r="G149" s="15" t="str">
        <f>IF(OR(E149="",F149=""),"",E149*F149)</f>
        <v/>
      </c>
      <c r="H149" s="14"/>
      <c r="I149" s="14"/>
      <c r="J149" s="14"/>
      <c r="K149" s="14" t="s">
        <v>401</v>
      </c>
      <c r="L149" s="14" t="s">
        <v>135</v>
      </c>
      <c r="M149" s="18" t="s">
        <v>399</v>
      </c>
      <c r="N149" s="14" t="s">
        <v>404</v>
      </c>
    </row>
    <row r="150" spans="1:14" ht="24">
      <c r="A150" s="4" t="s">
        <v>117</v>
      </c>
      <c r="B150" s="13">
        <v>2012</v>
      </c>
      <c r="C150" s="4" t="s">
        <v>394</v>
      </c>
      <c r="D150" s="15">
        <f>IF('Dados brutos atualizados'!E286="","",'Dados brutos atualizados'!E286)</f>
        <v>45775428.961999997</v>
      </c>
      <c r="E150" s="15">
        <f>IF(D150="","",D150*'Dados brutos atualizados'!G286)</f>
        <v>45775428962</v>
      </c>
      <c r="F150" s="4"/>
      <c r="G150" s="15" t="str">
        <f>IF(OR(E150="",F150=""),"",E150*F150)</f>
        <v/>
      </c>
      <c r="H150" s="14"/>
      <c r="I150" s="15" t="str">
        <f>IF(OR(G150="",H150="",H150=0),"",G150/H150)</f>
        <v/>
      </c>
      <c r="J150" s="14"/>
      <c r="K150" s="14" t="s">
        <v>395</v>
      </c>
      <c r="L150" s="14" t="s">
        <v>135</v>
      </c>
      <c r="M150" s="18" t="s">
        <v>399</v>
      </c>
      <c r="N150" s="14" t="s">
        <v>398</v>
      </c>
    </row>
    <row r="151" spans="1:14" ht="24">
      <c r="A151" s="4" t="s">
        <v>117</v>
      </c>
      <c r="B151" s="13">
        <v>2012</v>
      </c>
      <c r="C151" s="4" t="s">
        <v>400</v>
      </c>
      <c r="D151" s="15">
        <f>IF('Dados brutos atualizados'!E287="","",'Dados brutos atualizados'!E287)</f>
        <v>18308.75</v>
      </c>
      <c r="E151" s="15">
        <f>IF(D151="","",D151*'Dados brutos atualizados'!G287)</f>
        <v>18308.75</v>
      </c>
      <c r="F151" s="4"/>
      <c r="G151" s="15" t="str">
        <f>IF(OR(E151="",F151=""),"",E151*F151)</f>
        <v/>
      </c>
      <c r="H151" s="14"/>
      <c r="I151" s="14"/>
      <c r="J151" s="14"/>
      <c r="K151" s="14" t="s">
        <v>401</v>
      </c>
      <c r="L151" s="14" t="s">
        <v>135</v>
      </c>
      <c r="M151" s="18" t="s">
        <v>399</v>
      </c>
      <c r="N151" s="14" t="s">
        <v>404</v>
      </c>
    </row>
    <row r="152" spans="1:14" ht="15.75">
      <c r="A152" s="4" t="s">
        <v>117</v>
      </c>
      <c r="B152" s="13">
        <v>2013</v>
      </c>
      <c r="C152" s="4" t="s">
        <v>374</v>
      </c>
      <c r="D152" s="15">
        <f>IF('Dados brutos atualizados'!E288="","",'Dados brutos atualizados'!E288)</f>
        <v>4.7688329999999999</v>
      </c>
      <c r="E152" s="15">
        <f>IF(D152="","",D152*'Dados brutos atualizados'!G288)</f>
        <v>4.7688329999999999</v>
      </c>
      <c r="F152" s="4"/>
      <c r="G152" s="14"/>
      <c r="H152" s="14"/>
      <c r="I152" s="14"/>
      <c r="J152" s="15">
        <f t="shared" ref="J152:J157" si="2">IF(D152="","",D152)</f>
        <v>4.7688329999999999</v>
      </c>
      <c r="K152" s="14" t="s">
        <v>375</v>
      </c>
      <c r="L152" s="14" t="s">
        <v>378</v>
      </c>
      <c r="M152" s="18" t="s">
        <v>380</v>
      </c>
      <c r="N152" s="14" t="s">
        <v>379</v>
      </c>
    </row>
    <row r="153" spans="1:14" ht="15.75">
      <c r="A153" s="4" t="s">
        <v>117</v>
      </c>
      <c r="B153" s="13">
        <v>2013</v>
      </c>
      <c r="C153" s="4" t="s">
        <v>381</v>
      </c>
      <c r="D153" s="15">
        <f>IF('Dados brutos atualizados'!E289="","",'Dados brutos atualizados'!E289)</f>
        <v>5.0492900000000001</v>
      </c>
      <c r="E153" s="15">
        <f>IF(D153="","",D153*'Dados brutos atualizados'!G289)</f>
        <v>5.0492900000000001</v>
      </c>
      <c r="F153" s="4"/>
      <c r="G153" s="14"/>
      <c r="H153" s="14"/>
      <c r="I153" s="14"/>
      <c r="J153" s="15">
        <f t="shared" si="2"/>
        <v>5.0492900000000001</v>
      </c>
      <c r="K153" s="14" t="s">
        <v>375</v>
      </c>
      <c r="L153" s="14" t="s">
        <v>378</v>
      </c>
      <c r="M153" s="18" t="s">
        <v>382</v>
      </c>
      <c r="N153" s="14" t="s">
        <v>379</v>
      </c>
    </row>
    <row r="154" spans="1:14" ht="15.75">
      <c r="A154" s="4" t="s">
        <v>117</v>
      </c>
      <c r="B154" s="13">
        <v>2013</v>
      </c>
      <c r="C154" s="4" t="s">
        <v>383</v>
      </c>
      <c r="D154" s="15">
        <f>IF('Dados brutos atualizados'!E290="","",'Dados brutos atualizados'!E290)</f>
        <v>0.797956</v>
      </c>
      <c r="E154" s="15">
        <f>IF(D154="","",D154*'Dados brutos atualizados'!G290)</f>
        <v>0.797956</v>
      </c>
      <c r="F154" s="4"/>
      <c r="G154" s="14"/>
      <c r="H154" s="14"/>
      <c r="I154" s="14"/>
      <c r="J154" s="15">
        <f t="shared" si="2"/>
        <v>0.797956</v>
      </c>
      <c r="K154" s="14" t="s">
        <v>384</v>
      </c>
      <c r="L154" s="14" t="s">
        <v>378</v>
      </c>
      <c r="M154" s="18" t="s">
        <v>380</v>
      </c>
      <c r="N154" s="14" t="s">
        <v>379</v>
      </c>
    </row>
    <row r="155" spans="1:14" ht="15.75">
      <c r="A155" s="4" t="s">
        <v>117</v>
      </c>
      <c r="B155" s="13">
        <v>2013</v>
      </c>
      <c r="C155" s="4" t="s">
        <v>386</v>
      </c>
      <c r="D155" s="15">
        <f>IF('Dados brutos atualizados'!E291="","",'Dados brutos atualizados'!E291)</f>
        <v>0.91879299999999997</v>
      </c>
      <c r="E155" s="15">
        <f>IF(D155="","",D155*'Dados brutos atualizados'!G291)</f>
        <v>0.91879299999999997</v>
      </c>
      <c r="F155" s="4"/>
      <c r="G155" s="14"/>
      <c r="H155" s="14"/>
      <c r="I155" s="14"/>
      <c r="J155" s="15">
        <f t="shared" si="2"/>
        <v>0.91879299999999997</v>
      </c>
      <c r="K155" s="14" t="s">
        <v>384</v>
      </c>
      <c r="L155" s="14" t="s">
        <v>378</v>
      </c>
      <c r="M155" s="18" t="s">
        <v>382</v>
      </c>
      <c r="N155" s="14" t="s">
        <v>379</v>
      </c>
    </row>
    <row r="156" spans="1:14" ht="24">
      <c r="A156" s="4" t="s">
        <v>117</v>
      </c>
      <c r="B156" s="13">
        <v>2013</v>
      </c>
      <c r="C156" s="4" t="s">
        <v>587</v>
      </c>
      <c r="D156" s="15">
        <f>IF(OR('Dados brutos atualizados'!E290="",'Dados brutos atualizados'!E288=""),"",'Dados brutos atualizados'!E290*'Dados brutos atualizados'!E288)</f>
        <v>3.8053189053479999</v>
      </c>
      <c r="E156" s="15">
        <f>IF(D156="","",D156)</f>
        <v>3.8053189053479999</v>
      </c>
      <c r="F156" s="4"/>
      <c r="G156" s="14"/>
      <c r="H156" s="14"/>
      <c r="I156" s="14"/>
      <c r="J156" s="15">
        <f t="shared" si="2"/>
        <v>3.8053189053479999</v>
      </c>
      <c r="K156" s="14" t="s">
        <v>588</v>
      </c>
      <c r="L156" s="14" t="s">
        <v>589</v>
      </c>
      <c r="M156" s="18" t="s">
        <v>380</v>
      </c>
      <c r="N156" s="14" t="s">
        <v>590</v>
      </c>
    </row>
    <row r="157" spans="1:14" ht="24">
      <c r="A157" s="4" t="s">
        <v>117</v>
      </c>
      <c r="B157" s="13">
        <v>2013</v>
      </c>
      <c r="C157" s="4" t="s">
        <v>591</v>
      </c>
      <c r="D157" s="15">
        <f>IF(OR('Dados brutos atualizados'!E291="",'Dados brutos atualizados'!E289=""),"",'Dados brutos atualizados'!E291*'Dados brutos atualizados'!E289)</f>
        <v>4.6392523069699996</v>
      </c>
      <c r="E157" s="15">
        <f>IF(D157="","",D157)</f>
        <v>4.6392523069699996</v>
      </c>
      <c r="F157" s="4"/>
      <c r="G157" s="14"/>
      <c r="H157" s="14"/>
      <c r="I157" s="14"/>
      <c r="J157" s="15">
        <f t="shared" si="2"/>
        <v>4.6392523069699996</v>
      </c>
      <c r="K157" s="14" t="s">
        <v>588</v>
      </c>
      <c r="L157" s="14" t="s">
        <v>589</v>
      </c>
      <c r="M157" s="18" t="s">
        <v>382</v>
      </c>
      <c r="N157" s="14" t="s">
        <v>590</v>
      </c>
    </row>
    <row r="158" spans="1:14" ht="24">
      <c r="A158" s="4" t="s">
        <v>117</v>
      </c>
      <c r="B158" s="13">
        <v>2013</v>
      </c>
      <c r="C158" s="4" t="s">
        <v>394</v>
      </c>
      <c r="D158" s="15">
        <f>IF('Dados brutos atualizados'!E292="","",'Dados brutos atualizados'!E292)</f>
        <v>49758762.854000002</v>
      </c>
      <c r="E158" s="15">
        <f>IF(D158="","",D158*'Dados brutos atualizados'!G292)</f>
        <v>49758762854</v>
      </c>
      <c r="F158" s="4"/>
      <c r="G158" s="15" t="str">
        <f>IF(OR(E158="",F158=""),"",E158*F158)</f>
        <v/>
      </c>
      <c r="H158" s="14"/>
      <c r="I158" s="15" t="str">
        <f>IF(OR(G158="",H158="",H158=0),"",G158/H158)</f>
        <v/>
      </c>
      <c r="J158" s="14"/>
      <c r="K158" s="14" t="s">
        <v>395</v>
      </c>
      <c r="L158" s="14" t="s">
        <v>135</v>
      </c>
      <c r="M158" s="18" t="s">
        <v>399</v>
      </c>
      <c r="N158" s="14" t="s">
        <v>398</v>
      </c>
    </row>
    <row r="159" spans="1:14" ht="24">
      <c r="A159" s="4" t="s">
        <v>117</v>
      </c>
      <c r="B159" s="13">
        <v>2013</v>
      </c>
      <c r="C159" s="4" t="s">
        <v>400</v>
      </c>
      <c r="D159" s="15">
        <f>IF('Dados brutos atualizados'!E293="","",'Dados brutos atualizados'!E293)</f>
        <v>19499.43</v>
      </c>
      <c r="E159" s="15">
        <f>IF(D159="","",D159*'Dados brutos atualizados'!G293)</f>
        <v>19499.43</v>
      </c>
      <c r="F159" s="4"/>
      <c r="G159" s="15" t="str">
        <f>IF(OR(E159="",F159=""),"",E159*F159)</f>
        <v/>
      </c>
      <c r="H159" s="14"/>
      <c r="I159" s="14"/>
      <c r="J159" s="14"/>
      <c r="K159" s="14" t="s">
        <v>401</v>
      </c>
      <c r="L159" s="14" t="s">
        <v>135</v>
      </c>
      <c r="M159" s="18" t="s">
        <v>399</v>
      </c>
      <c r="N159" s="14" t="s">
        <v>404</v>
      </c>
    </row>
    <row r="160" spans="1:14" ht="24">
      <c r="A160" s="4" t="s">
        <v>117</v>
      </c>
      <c r="B160" s="13">
        <v>2014</v>
      </c>
      <c r="C160" s="4" t="s">
        <v>394</v>
      </c>
      <c r="D160" s="15">
        <f>IF('Dados brutos atualizados'!E294="","",'Dados brutos atualizados'!E294)</f>
        <v>56116643.785999998</v>
      </c>
      <c r="E160" s="15">
        <f>IF(D160="","",D160*'Dados brutos atualizados'!G294)</f>
        <v>56116643786</v>
      </c>
      <c r="F160" s="17">
        <f>IF(E160="","",Deflatores!E2)</f>
        <v>1.8468399910282616</v>
      </c>
      <c r="G160" s="15">
        <f>IF(OR(E160="",F160=""),"",E160*F160)</f>
        <v>103638461906.27238</v>
      </c>
      <c r="H160" s="14"/>
      <c r="I160" s="15" t="str">
        <f>IF(OR(G160="",H160="",H160=0),"",G160/H160)</f>
        <v/>
      </c>
      <c r="J160" s="14"/>
      <c r="K160" s="14" t="s">
        <v>395</v>
      </c>
      <c r="L160" s="14" t="s">
        <v>135</v>
      </c>
      <c r="M160" s="18" t="s">
        <v>399</v>
      </c>
      <c r="N160" s="14" t="s">
        <v>398</v>
      </c>
    </row>
    <row r="161" spans="1:14" ht="24">
      <c r="A161" s="4" t="s">
        <v>117</v>
      </c>
      <c r="B161" s="13">
        <v>2014</v>
      </c>
      <c r="C161" s="4" t="s">
        <v>400</v>
      </c>
      <c r="D161" s="15">
        <f>IF('Dados brutos atualizados'!E295="","",'Dados brutos atualizados'!E295)</f>
        <v>21819.17</v>
      </c>
      <c r="E161" s="15">
        <f>IF(D161="","",D161*'Dados brutos atualizados'!G295)</f>
        <v>21819.17</v>
      </c>
      <c r="F161" s="17">
        <f>IF(E161="","",Deflatores!E2)</f>
        <v>1.8468399910282616</v>
      </c>
      <c r="G161" s="15">
        <f>IF(OR(E161="",F161=""),"",E161*F161)</f>
        <v>40296.515727044112</v>
      </c>
      <c r="H161" s="14"/>
      <c r="I161" s="14"/>
      <c r="J161" s="14"/>
      <c r="K161" s="14" t="s">
        <v>401</v>
      </c>
      <c r="L161" s="14" t="s">
        <v>135</v>
      </c>
      <c r="M161" s="18" t="s">
        <v>399</v>
      </c>
      <c r="N161" s="14" t="s">
        <v>404</v>
      </c>
    </row>
    <row r="162" spans="1:14" ht="15.75">
      <c r="A162" s="4" t="s">
        <v>117</v>
      </c>
      <c r="B162" s="13">
        <v>2015</v>
      </c>
      <c r="C162" s="4" t="s">
        <v>374</v>
      </c>
      <c r="D162" s="15">
        <f>IF('Dados brutos atualizados'!E296="","",'Dados brutos atualizados'!E296)</f>
        <v>5.1741669999999997</v>
      </c>
      <c r="E162" s="15">
        <f>IF(D162="","",D162*'Dados brutos atualizados'!G296)</f>
        <v>5.1741669999999997</v>
      </c>
      <c r="F162" s="4"/>
      <c r="G162" s="14"/>
      <c r="H162" s="14"/>
      <c r="I162" s="14"/>
      <c r="J162" s="15">
        <f t="shared" ref="J162:J167" si="3">IF(D162="","",D162)</f>
        <v>5.1741669999999997</v>
      </c>
      <c r="K162" s="14" t="s">
        <v>375</v>
      </c>
      <c r="L162" s="14" t="s">
        <v>378</v>
      </c>
      <c r="M162" s="18" t="s">
        <v>380</v>
      </c>
      <c r="N162" s="14" t="s">
        <v>379</v>
      </c>
    </row>
    <row r="163" spans="1:14" ht="15.75">
      <c r="A163" s="4" t="s">
        <v>117</v>
      </c>
      <c r="B163" s="13">
        <v>2015</v>
      </c>
      <c r="C163" s="4" t="s">
        <v>381</v>
      </c>
      <c r="D163" s="15">
        <f>IF('Dados brutos atualizados'!E297="","",'Dados brutos atualizados'!E297)</f>
        <v>5.7749360000000003</v>
      </c>
      <c r="E163" s="15">
        <f>IF(D163="","",D163*'Dados brutos atualizados'!G297)</f>
        <v>5.7749360000000003</v>
      </c>
      <c r="F163" s="4"/>
      <c r="G163" s="14"/>
      <c r="H163" s="14"/>
      <c r="I163" s="14"/>
      <c r="J163" s="15">
        <f t="shared" si="3"/>
        <v>5.7749360000000003</v>
      </c>
      <c r="K163" s="14" t="s">
        <v>375</v>
      </c>
      <c r="L163" s="14" t="s">
        <v>378</v>
      </c>
      <c r="M163" s="18" t="s">
        <v>382</v>
      </c>
      <c r="N163" s="14" t="s">
        <v>379</v>
      </c>
    </row>
    <row r="164" spans="1:14" ht="15.75">
      <c r="A164" s="4" t="s">
        <v>117</v>
      </c>
      <c r="B164" s="13">
        <v>2015</v>
      </c>
      <c r="C164" s="4" t="s">
        <v>383</v>
      </c>
      <c r="D164" s="15">
        <f>IF('Dados brutos atualizados'!E298="","",'Dados brutos atualizados'!E298)</f>
        <v>0.84436299999999997</v>
      </c>
      <c r="E164" s="15">
        <f>IF(D164="","",D164*'Dados brutos atualizados'!G298)</f>
        <v>0.84436299999999997</v>
      </c>
      <c r="F164" s="4"/>
      <c r="G164" s="14"/>
      <c r="H164" s="14"/>
      <c r="I164" s="14"/>
      <c r="J164" s="15">
        <f t="shared" si="3"/>
        <v>0.84436299999999997</v>
      </c>
      <c r="K164" s="14" t="s">
        <v>384</v>
      </c>
      <c r="L164" s="14" t="s">
        <v>378</v>
      </c>
      <c r="M164" s="18" t="s">
        <v>380</v>
      </c>
      <c r="N164" s="14" t="s">
        <v>379</v>
      </c>
    </row>
    <row r="165" spans="1:14" ht="15.75">
      <c r="A165" s="4" t="s">
        <v>117</v>
      </c>
      <c r="B165" s="13">
        <v>2015</v>
      </c>
      <c r="C165" s="4" t="s">
        <v>386</v>
      </c>
      <c r="D165" s="15">
        <f>IF('Dados brutos atualizados'!E299="","",'Dados brutos atualizados'!E299)</f>
        <v>0.930844</v>
      </c>
      <c r="E165" s="15">
        <f>IF(D165="","",D165*'Dados brutos atualizados'!G299)</f>
        <v>0.930844</v>
      </c>
      <c r="F165" s="4"/>
      <c r="G165" s="14"/>
      <c r="H165" s="14"/>
      <c r="I165" s="14"/>
      <c r="J165" s="15">
        <f t="shared" si="3"/>
        <v>0.930844</v>
      </c>
      <c r="K165" s="14" t="s">
        <v>384</v>
      </c>
      <c r="L165" s="14" t="s">
        <v>378</v>
      </c>
      <c r="M165" s="18" t="s">
        <v>382</v>
      </c>
      <c r="N165" s="14" t="s">
        <v>379</v>
      </c>
    </row>
    <row r="166" spans="1:14" ht="24">
      <c r="A166" s="4" t="s">
        <v>117</v>
      </c>
      <c r="B166" s="13">
        <v>2015</v>
      </c>
      <c r="C166" s="4" t="s">
        <v>587</v>
      </c>
      <c r="D166" s="15">
        <f>IF(OR('Dados brutos atualizados'!E298="",'Dados brutos atualizados'!E296=""),"",'Dados brutos atualizados'!E298*'Dados brutos atualizados'!E296)</f>
        <v>4.3688751706210001</v>
      </c>
      <c r="E166" s="15">
        <f>IF(D166="","",D166)</f>
        <v>4.3688751706210001</v>
      </c>
      <c r="F166" s="4"/>
      <c r="G166" s="14"/>
      <c r="H166" s="14"/>
      <c r="I166" s="14"/>
      <c r="J166" s="15">
        <f t="shared" si="3"/>
        <v>4.3688751706210001</v>
      </c>
      <c r="K166" s="14" t="s">
        <v>588</v>
      </c>
      <c r="L166" s="14" t="s">
        <v>589</v>
      </c>
      <c r="M166" s="18" t="s">
        <v>380</v>
      </c>
      <c r="N166" s="14" t="s">
        <v>590</v>
      </c>
    </row>
    <row r="167" spans="1:14" ht="24">
      <c r="A167" s="4" t="s">
        <v>117</v>
      </c>
      <c r="B167" s="13">
        <v>2015</v>
      </c>
      <c r="C167" s="4" t="s">
        <v>591</v>
      </c>
      <c r="D167" s="15">
        <f>IF(OR('Dados brutos atualizados'!E299="",'Dados brutos atualizados'!E297=""),"",'Dados brutos atualizados'!E299*'Dados brutos atualizados'!E297)</f>
        <v>5.3755645259840001</v>
      </c>
      <c r="E167" s="15">
        <f>IF(D167="","",D167)</f>
        <v>5.3755645259840001</v>
      </c>
      <c r="F167" s="4"/>
      <c r="G167" s="14"/>
      <c r="H167" s="14"/>
      <c r="I167" s="14"/>
      <c r="J167" s="15">
        <f t="shared" si="3"/>
        <v>5.3755645259840001</v>
      </c>
      <c r="K167" s="14" t="s">
        <v>588</v>
      </c>
      <c r="L167" s="14" t="s">
        <v>589</v>
      </c>
      <c r="M167" s="18" t="s">
        <v>382</v>
      </c>
      <c r="N167" s="14" t="s">
        <v>590</v>
      </c>
    </row>
    <row r="168" spans="1:14" ht="24">
      <c r="A168" s="4" t="s">
        <v>117</v>
      </c>
      <c r="B168" s="13">
        <v>2015</v>
      </c>
      <c r="C168" s="4" t="s">
        <v>394</v>
      </c>
      <c r="D168" s="15">
        <f>IF('Dados brutos atualizados'!E300="","",'Dados brutos atualizados'!E300)</f>
        <v>57211199.795999996</v>
      </c>
      <c r="E168" s="15">
        <f>IF(D168="","",D168*'Dados brutos atualizados'!G300)</f>
        <v>57211199796</v>
      </c>
      <c r="F168" s="17">
        <f>IF(E168="","",Deflatores!E3)</f>
        <v>1.6938839471375786</v>
      </c>
      <c r="G168" s="15">
        <f>IF(OR(E168="",F168=""),"",E168*F168)</f>
        <v>96909132930.92511</v>
      </c>
      <c r="H168" s="14"/>
      <c r="I168" s="15" t="str">
        <f>IF(OR(G168="",H168="",H168=0),"",G168/H168)</f>
        <v/>
      </c>
      <c r="J168" s="14"/>
      <c r="K168" s="14" t="s">
        <v>395</v>
      </c>
      <c r="L168" s="14" t="s">
        <v>135</v>
      </c>
      <c r="M168" s="18" t="s">
        <v>399</v>
      </c>
      <c r="N168" s="14" t="s">
        <v>398</v>
      </c>
    </row>
    <row r="169" spans="1:14" ht="24">
      <c r="A169" s="4" t="s">
        <v>117</v>
      </c>
      <c r="B169" s="13">
        <v>2015</v>
      </c>
      <c r="C169" s="4" t="s">
        <v>400</v>
      </c>
      <c r="D169" s="15">
        <f>IF('Dados brutos atualizados'!E301="","",'Dados brutos atualizados'!E301)</f>
        <v>22079.14</v>
      </c>
      <c r="E169" s="15">
        <f>IF(D169="","",D169*'Dados brutos atualizados'!G301)</f>
        <v>22079.14</v>
      </c>
      <c r="F169" s="17">
        <f>IF(E169="","",Deflatores!E3)</f>
        <v>1.6938839471375786</v>
      </c>
      <c r="G169" s="15">
        <f>IF(OR(E169="",F169=""),"",E169*F169)</f>
        <v>37399.500812603197</v>
      </c>
      <c r="H169" s="14"/>
      <c r="I169" s="14"/>
      <c r="J169" s="14"/>
      <c r="K169" s="14" t="s">
        <v>401</v>
      </c>
      <c r="L169" s="14" t="s">
        <v>135</v>
      </c>
      <c r="M169" s="18" t="s">
        <v>399</v>
      </c>
      <c r="N169" s="14" t="s">
        <v>404</v>
      </c>
    </row>
    <row r="170" spans="1:14" ht="24">
      <c r="A170" s="4" t="s">
        <v>117</v>
      </c>
      <c r="B170" s="13">
        <v>2016</v>
      </c>
      <c r="C170" s="4" t="s">
        <v>416</v>
      </c>
      <c r="D170" s="15">
        <f>IF('Dados brutos atualizados'!E302="","",'Dados brutos atualizados'!E302)</f>
        <v>1448218893.77</v>
      </c>
      <c r="E170" s="15">
        <f>IF(D170="","",D170*'Dados brutos atualizados'!G302)</f>
        <v>1448218893.77</v>
      </c>
      <c r="F170" s="17">
        <f>IF(E170="","",Deflatores!E4)</f>
        <v>1.5577499438136717</v>
      </c>
      <c r="G170" s="15">
        <f>IF(OR(E170="",F170=""),"",E170*F170)</f>
        <v>2255962900.4001155</v>
      </c>
      <c r="H170" s="15">
        <f>IF('Dados tratados'!E179="","",'Dados tratados'!E179)</f>
        <v>2609716</v>
      </c>
      <c r="I170" s="15">
        <f>IF(OR(G170="",H170="",H170=0),"",G170/H170)</f>
        <v>864.44766419032396</v>
      </c>
      <c r="J170" s="14"/>
      <c r="K170" s="14" t="s">
        <v>417</v>
      </c>
      <c r="L170" s="14" t="s">
        <v>135</v>
      </c>
      <c r="M170" s="18" t="s">
        <v>421</v>
      </c>
      <c r="N170" s="14" t="s">
        <v>420</v>
      </c>
    </row>
    <row r="171" spans="1:14" ht="15.75">
      <c r="A171" s="4" t="s">
        <v>117</v>
      </c>
      <c r="B171" s="13">
        <v>2016</v>
      </c>
      <c r="C171" s="4" t="s">
        <v>422</v>
      </c>
      <c r="D171" s="15">
        <f>IF('Dados brutos atualizados'!E303="","",'Dados brutos atualizados'!E303)</f>
        <v>46.86</v>
      </c>
      <c r="E171" s="15">
        <f>IF(D171="","",D171*'Dados brutos atualizados'!G303)</f>
        <v>46.86</v>
      </c>
      <c r="F171" s="4"/>
      <c r="G171" s="14"/>
      <c r="H171" s="14"/>
      <c r="I171" s="14"/>
      <c r="J171" s="15">
        <f>IF(D171="","",D171)</f>
        <v>46.86</v>
      </c>
      <c r="K171" s="14" t="s">
        <v>423</v>
      </c>
      <c r="L171" s="14" t="s">
        <v>135</v>
      </c>
      <c r="M171" s="18" t="s">
        <v>427</v>
      </c>
      <c r="N171" s="14" t="s">
        <v>426</v>
      </c>
    </row>
    <row r="172" spans="1:14" ht="24">
      <c r="A172" s="4" t="s">
        <v>117</v>
      </c>
      <c r="B172" s="13">
        <v>2016</v>
      </c>
      <c r="C172" s="4" t="s">
        <v>428</v>
      </c>
      <c r="D172" s="15">
        <f>IF('Dados brutos atualizados'!E304="","",'Dados brutos atualizados'!E304)</f>
        <v>373088912.13</v>
      </c>
      <c r="E172" s="15">
        <f>IF(D172="","",D172*'Dados brutos atualizados'!G304)</f>
        <v>373088912.13</v>
      </c>
      <c r="F172" s="17">
        <f>IF(E172="","",Deflatores!E4)</f>
        <v>1.5577499438136717</v>
      </c>
      <c r="G172" s="15">
        <f t="shared" ref="G172:G178" si="4">IF(OR(E172="",F172=""),"",E172*F172)</f>
        <v>581179231.90801144</v>
      </c>
      <c r="H172" s="14"/>
      <c r="I172" s="14"/>
      <c r="J172" s="14"/>
      <c r="K172" s="14" t="s">
        <v>417</v>
      </c>
      <c r="L172" s="14" t="s">
        <v>431</v>
      </c>
      <c r="M172" s="18" t="s">
        <v>421</v>
      </c>
      <c r="N172" s="14" t="s">
        <v>432</v>
      </c>
    </row>
    <row r="173" spans="1:14" ht="15.75">
      <c r="A173" s="4" t="s">
        <v>117</v>
      </c>
      <c r="B173" s="13">
        <v>2016</v>
      </c>
      <c r="C173" s="4" t="s">
        <v>433</v>
      </c>
      <c r="D173" s="15">
        <f>IF('Dados brutos atualizados'!E305="","",'Dados brutos atualizados'!E305)</f>
        <v>6045848856.9899998</v>
      </c>
      <c r="E173" s="15">
        <f>IF(D173="","",D173*'Dados brutos atualizados'!G305)</f>
        <v>6045848856.9899998</v>
      </c>
      <c r="F173" s="17">
        <f>IF(E173="","",Deflatores!E4)</f>
        <v>1.5577499438136717</v>
      </c>
      <c r="G173" s="15">
        <f t="shared" si="4"/>
        <v>9417920717.2821236</v>
      </c>
      <c r="H173" s="15">
        <f>IF('Dados tratados'!E179="","",'Dados tratados'!E179)</f>
        <v>2609716</v>
      </c>
      <c r="I173" s="15">
        <f>IF(OR(G173="",H173="",H173=0),"",G173/H173)</f>
        <v>3608.7914230062288</v>
      </c>
      <c r="J173" s="14"/>
      <c r="K173" s="14" t="s">
        <v>417</v>
      </c>
      <c r="L173" s="14" t="s">
        <v>135</v>
      </c>
      <c r="M173" s="18" t="s">
        <v>437</v>
      </c>
      <c r="N173" s="14" t="s">
        <v>436</v>
      </c>
    </row>
    <row r="174" spans="1:14" ht="15.75">
      <c r="A174" s="4" t="s">
        <v>117</v>
      </c>
      <c r="B174" s="13">
        <v>2016</v>
      </c>
      <c r="C174" s="4" t="s">
        <v>438</v>
      </c>
      <c r="D174" s="15">
        <f>IF('Dados brutos atualizados'!E306="","",'Dados brutos atualizados'!E306)</f>
        <v>5960443868.6300001</v>
      </c>
      <c r="E174" s="15">
        <f>IF(D174="","",D174*'Dados brutos atualizados'!G306)</f>
        <v>5960443868.6300001</v>
      </c>
      <c r="F174" s="17">
        <f>IF(E174="","",Deflatores!E4)</f>
        <v>1.5577499438136717</v>
      </c>
      <c r="G174" s="15">
        <f t="shared" si="4"/>
        <v>9284881101.4629269</v>
      </c>
      <c r="H174" s="15">
        <f>IF('Dados tratados'!E179="","",'Dados tratados'!E179)</f>
        <v>2609716</v>
      </c>
      <c r="I174" s="15">
        <f>IF(OR(G174="",H174="",H174=0),"",G174/H174)</f>
        <v>3557.8128430307847</v>
      </c>
      <c r="J174" s="14"/>
      <c r="K174" s="14" t="s">
        <v>417</v>
      </c>
      <c r="L174" s="14" t="s">
        <v>135</v>
      </c>
      <c r="M174" s="18" t="s">
        <v>437</v>
      </c>
      <c r="N174" s="14" t="s">
        <v>436</v>
      </c>
    </row>
    <row r="175" spans="1:14" ht="15.75">
      <c r="A175" s="4" t="s">
        <v>117</v>
      </c>
      <c r="B175" s="13">
        <v>2016</v>
      </c>
      <c r="C175" s="4" t="s">
        <v>440</v>
      </c>
      <c r="D175" s="15">
        <f>IF('Dados brutos atualizados'!E307="","",'Dados brutos atualizados'!E307)</f>
        <v>5925165726.4799995</v>
      </c>
      <c r="E175" s="15">
        <f>IF(D175="","",D175*'Dados brutos atualizados'!G307)</f>
        <v>5925165726.4799995</v>
      </c>
      <c r="F175" s="17">
        <f>IF(E175="","",Deflatores!E4)</f>
        <v>1.5577499438136717</v>
      </c>
      <c r="G175" s="15">
        <f t="shared" si="4"/>
        <v>9229926577.5109119</v>
      </c>
      <c r="H175" s="15">
        <f>IF('Dados tratados'!E179="","",'Dados tratados'!E179)</f>
        <v>2609716</v>
      </c>
      <c r="I175" s="15">
        <f>IF(OR(G175="",H175="",H175=0),"",G175/H175)</f>
        <v>3536.7551785370179</v>
      </c>
      <c r="J175" s="14"/>
      <c r="K175" s="14" t="s">
        <v>417</v>
      </c>
      <c r="L175" s="14" t="s">
        <v>135</v>
      </c>
      <c r="M175" s="18" t="s">
        <v>437</v>
      </c>
      <c r="N175" s="14" t="s">
        <v>436</v>
      </c>
    </row>
    <row r="176" spans="1:14" ht="15.75">
      <c r="A176" s="4" t="s">
        <v>117</v>
      </c>
      <c r="B176" s="13">
        <v>2016</v>
      </c>
      <c r="C176" s="4" t="s">
        <v>442</v>
      </c>
      <c r="D176" s="15">
        <f>IF('Dados brutos atualizados'!E308="","",'Dados brutos atualizados'!E308)</f>
        <v>2513406309.6900001</v>
      </c>
      <c r="E176" s="15">
        <f>IF(D176="","",D176*'Dados brutos atualizados'!G308)</f>
        <v>2513406309.6900001</v>
      </c>
      <c r="F176" s="17">
        <f>IF(E176="","",Deflatores!E4)</f>
        <v>1.5577499438136717</v>
      </c>
      <c r="G176" s="15">
        <f t="shared" si="4"/>
        <v>3915258537.7005258</v>
      </c>
      <c r="H176" s="15">
        <f>IF('Dados tratados'!E179="","",'Dados tratados'!E179)</f>
        <v>2609716</v>
      </c>
      <c r="I176" s="15">
        <f>IF(OR(G176="",H176="",H176=0),"",G176/H176)</f>
        <v>1500.2623035228837</v>
      </c>
      <c r="J176" s="14"/>
      <c r="K176" s="14" t="s">
        <v>417</v>
      </c>
      <c r="L176" s="14" t="s">
        <v>135</v>
      </c>
      <c r="M176" s="18" t="s">
        <v>427</v>
      </c>
      <c r="N176" s="14" t="s">
        <v>444</v>
      </c>
    </row>
    <row r="177" spans="1:14" ht="24">
      <c r="A177" s="4" t="s">
        <v>117</v>
      </c>
      <c r="B177" s="13">
        <v>2016</v>
      </c>
      <c r="C177" s="4" t="s">
        <v>394</v>
      </c>
      <c r="D177" s="15">
        <f>IF('Dados brutos atualizados'!E309="","",'Dados brutos atualizados'!E309)</f>
        <v>60088000.548</v>
      </c>
      <c r="E177" s="15">
        <f>IF(D177="","",D177*'Dados brutos atualizados'!G309)</f>
        <v>60088000548</v>
      </c>
      <c r="F177" s="17">
        <f>IF(E177="","",Deflatores!E4)</f>
        <v>1.5577499438136717</v>
      </c>
      <c r="G177" s="15">
        <f t="shared" si="4"/>
        <v>93602079477.522873</v>
      </c>
      <c r="H177" s="15">
        <f>IF('Dados tratados'!E179="","",'Dados tratados'!E179)</f>
        <v>2609716</v>
      </c>
      <c r="I177" s="15">
        <f>IF(OR(G177="",H177="",H177=0),"",G177/H177)</f>
        <v>35866.7684443529</v>
      </c>
      <c r="J177" s="14"/>
      <c r="K177" s="14" t="s">
        <v>395</v>
      </c>
      <c r="L177" s="14" t="s">
        <v>135</v>
      </c>
      <c r="M177" s="18" t="s">
        <v>399</v>
      </c>
      <c r="N177" s="14" t="s">
        <v>398</v>
      </c>
    </row>
    <row r="178" spans="1:14" ht="24">
      <c r="A178" s="4" t="s">
        <v>117</v>
      </c>
      <c r="B178" s="13">
        <v>2016</v>
      </c>
      <c r="C178" s="4" t="s">
        <v>400</v>
      </c>
      <c r="D178" s="15">
        <f>IF('Dados brutos atualizados'!E310="","",'Dados brutos atualizados'!E310)</f>
        <v>23024.73</v>
      </c>
      <c r="E178" s="15">
        <f>IF(D178="","",D178*'Dados brutos atualizados'!G310)</f>
        <v>23024.73</v>
      </c>
      <c r="F178" s="17">
        <f>IF(E178="","",Deflatores!E4)</f>
        <v>1.5577499438136717</v>
      </c>
      <c r="G178" s="15">
        <f t="shared" si="4"/>
        <v>35866.771863824964</v>
      </c>
      <c r="H178" s="14"/>
      <c r="I178" s="14"/>
      <c r="J178" s="14"/>
      <c r="K178" s="14" t="s">
        <v>401</v>
      </c>
      <c r="L178" s="14" t="s">
        <v>135</v>
      </c>
      <c r="M178" s="18" t="s">
        <v>399</v>
      </c>
      <c r="N178" s="14" t="s">
        <v>404</v>
      </c>
    </row>
    <row r="179" spans="1:14" ht="15.75">
      <c r="A179" s="4" t="s">
        <v>117</v>
      </c>
      <c r="B179" s="13">
        <v>2016</v>
      </c>
      <c r="C179" s="4" t="s">
        <v>445</v>
      </c>
      <c r="D179" s="15">
        <f>IF('Dados brutos atualizados'!E311="","",'Dados brutos atualizados'!E311)</f>
        <v>2609716</v>
      </c>
      <c r="E179" s="15">
        <f>IF(D179="","",D179*'Dados brutos atualizados'!G311)</f>
        <v>2609716</v>
      </c>
      <c r="F179" s="4"/>
      <c r="G179" s="14"/>
      <c r="H179" s="14"/>
      <c r="I179" s="14"/>
      <c r="J179" s="15">
        <f>IF(D179="","",D179)</f>
        <v>2609716</v>
      </c>
      <c r="K179" s="14" t="s">
        <v>446</v>
      </c>
      <c r="L179" s="14" t="s">
        <v>449</v>
      </c>
      <c r="M179" s="18" t="s">
        <v>451</v>
      </c>
      <c r="N179" s="14" t="s">
        <v>450</v>
      </c>
    </row>
    <row r="180" spans="1:14" ht="15.75">
      <c r="A180" s="4" t="s">
        <v>117</v>
      </c>
      <c r="B180" s="13">
        <v>2016</v>
      </c>
      <c r="C180" s="4" t="s">
        <v>452</v>
      </c>
      <c r="D180" s="15">
        <f>IF('Dados brutos atualizados'!E312="","",'Dados brutos atualizados'!E312)</f>
        <v>5363994044.8699999</v>
      </c>
      <c r="E180" s="15">
        <f>IF(D180="","",D180*'Dados brutos atualizados'!G312)</f>
        <v>5363994044.8699999</v>
      </c>
      <c r="F180" s="17">
        <f>IF(E180="","",Deflatores!E4)</f>
        <v>1.5577499438136717</v>
      </c>
      <c r="G180" s="15">
        <f t="shared" ref="G180:G186" si="5">IF(OR(E180="",F180=""),"",E180*F180)</f>
        <v>8355761422.0131121</v>
      </c>
      <c r="H180" s="15">
        <f>IF('Dados tratados'!E179="","",'Dados tratados'!E179)</f>
        <v>2609716</v>
      </c>
      <c r="I180" s="15">
        <f t="shared" ref="I180:I186" si="6">IF(OR(G180="",H180="",H180=0),"",G180/H180)</f>
        <v>3201.789551818325</v>
      </c>
      <c r="J180" s="14"/>
      <c r="K180" s="14" t="s">
        <v>417</v>
      </c>
      <c r="L180" s="14" t="s">
        <v>135</v>
      </c>
      <c r="M180" s="18" t="s">
        <v>427</v>
      </c>
      <c r="N180" s="14" t="s">
        <v>455</v>
      </c>
    </row>
    <row r="181" spans="1:14" ht="15.75">
      <c r="A181" s="4" t="s">
        <v>117</v>
      </c>
      <c r="B181" s="13">
        <v>2016</v>
      </c>
      <c r="C181" s="4" t="s">
        <v>456</v>
      </c>
      <c r="D181" s="15" t="str">
        <f>IF('Dados brutos atualizados'!E313="","",'Dados brutos atualizados'!E313)</f>
        <v/>
      </c>
      <c r="E181" s="15" t="str">
        <f>IF(D181="","",D181*'Dados brutos atualizados'!G313)</f>
        <v/>
      </c>
      <c r="F181" s="17" t="str">
        <f>IF(E181="","",Deflatores!E4)</f>
        <v/>
      </c>
      <c r="G181" s="15" t="str">
        <f t="shared" si="5"/>
        <v/>
      </c>
      <c r="H181" s="15">
        <f>IF('Dados tratados'!E179="","",'Dados tratados'!E179)</f>
        <v>2609716</v>
      </c>
      <c r="I181" s="15" t="str">
        <f t="shared" si="6"/>
        <v/>
      </c>
      <c r="J181" s="14"/>
      <c r="K181" s="14" t="s">
        <v>417</v>
      </c>
      <c r="L181" s="14" t="s">
        <v>458</v>
      </c>
      <c r="M181" s="18" t="s">
        <v>427</v>
      </c>
      <c r="N181" s="14" t="s">
        <v>459</v>
      </c>
    </row>
    <row r="182" spans="1:14" ht="15.75">
      <c r="A182" s="4" t="s">
        <v>117</v>
      </c>
      <c r="B182" s="13">
        <v>2016</v>
      </c>
      <c r="C182" s="4" t="s">
        <v>460</v>
      </c>
      <c r="D182" s="15">
        <f>IF('Dados brutos atualizados'!E314="","",'Dados brutos atualizados'!E314)</f>
        <v>6627300489.8299999</v>
      </c>
      <c r="E182" s="15">
        <f>IF(D182="","",D182*'Dados brutos atualizados'!G314)</f>
        <v>6627300489.8299999</v>
      </c>
      <c r="F182" s="17">
        <f>IF(E182="","",Deflatores!E4)</f>
        <v>1.5577499438136717</v>
      </c>
      <c r="G182" s="15">
        <f t="shared" si="5"/>
        <v>10323676965.669001</v>
      </c>
      <c r="H182" s="15">
        <f>IF('Dados tratados'!E179="","",'Dados tratados'!E179)</f>
        <v>2609716</v>
      </c>
      <c r="I182" s="15">
        <f t="shared" si="6"/>
        <v>3955.8622339246876</v>
      </c>
      <c r="J182" s="14"/>
      <c r="K182" s="14" t="s">
        <v>417</v>
      </c>
      <c r="L182" s="14" t="s">
        <v>135</v>
      </c>
      <c r="M182" s="18" t="s">
        <v>421</v>
      </c>
      <c r="N182" s="14" t="s">
        <v>462</v>
      </c>
    </row>
    <row r="183" spans="1:14" ht="24">
      <c r="A183" s="4" t="s">
        <v>117</v>
      </c>
      <c r="B183" s="13">
        <v>2016</v>
      </c>
      <c r="C183" s="4" t="s">
        <v>592</v>
      </c>
      <c r="D183" s="15">
        <f>IF(OR('Dados tratados'!E182="",'Dados tratados'!E172=""),"",'Dados tratados'!E182-'Dados tratados'!E172)</f>
        <v>6254211577.6999998</v>
      </c>
      <c r="E183" s="15">
        <f>IF(D183="","",D183)</f>
        <v>6254211577.6999998</v>
      </c>
      <c r="F183" s="17">
        <f>IF(E183="","",Deflatores!E4)</f>
        <v>1.5577499438136717</v>
      </c>
      <c r="G183" s="15">
        <f t="shared" si="5"/>
        <v>9742497733.7609901</v>
      </c>
      <c r="H183" s="15">
        <f>IF('Dados tratados'!E179="","",'Dados tratados'!E179)</f>
        <v>2609716</v>
      </c>
      <c r="I183" s="15">
        <f t="shared" si="6"/>
        <v>3733.1639664089848</v>
      </c>
      <c r="J183" s="14"/>
      <c r="K183" s="14" t="s">
        <v>417</v>
      </c>
      <c r="L183" s="14" t="s">
        <v>593</v>
      </c>
      <c r="M183" s="18" t="s">
        <v>594</v>
      </c>
      <c r="N183" s="14" t="s">
        <v>595</v>
      </c>
    </row>
    <row r="184" spans="1:14" ht="36">
      <c r="A184" s="4" t="s">
        <v>117</v>
      </c>
      <c r="B184" s="13">
        <v>2016</v>
      </c>
      <c r="C184" s="4" t="s">
        <v>463</v>
      </c>
      <c r="D184" s="15">
        <f>IF('Dados brutos atualizados'!E315="","",'Dados brutos atualizados'!E315)</f>
        <v>1767432009.3900001</v>
      </c>
      <c r="E184" s="15">
        <f>IF(D184="","",D184*'Dados brutos atualizados'!G315)</f>
        <v>1767432009.3900001</v>
      </c>
      <c r="F184" s="17">
        <f>IF(E184="","",Deflatores!E4)</f>
        <v>1.5577499438136717</v>
      </c>
      <c r="G184" s="15">
        <f t="shared" si="5"/>
        <v>2753217113.3217578</v>
      </c>
      <c r="H184" s="15">
        <f>IF('Dados tratados'!E179="","",'Dados tratados'!E179)</f>
        <v>2609716</v>
      </c>
      <c r="I184" s="15">
        <f t="shared" si="6"/>
        <v>1054.9872527592113</v>
      </c>
      <c r="J184" s="14"/>
      <c r="K184" s="14" t="s">
        <v>417</v>
      </c>
      <c r="L184" s="14" t="s">
        <v>135</v>
      </c>
      <c r="M184" s="18" t="s">
        <v>421</v>
      </c>
      <c r="N184" s="14" t="s">
        <v>466</v>
      </c>
    </row>
    <row r="185" spans="1:14" ht="36">
      <c r="A185" s="4" t="s">
        <v>117</v>
      </c>
      <c r="B185" s="13">
        <v>2016</v>
      </c>
      <c r="C185" s="4" t="s">
        <v>467</v>
      </c>
      <c r="D185" s="15">
        <f>IF('Dados brutos atualizados'!E316="","",'Dados brutos atualizados'!E316)</f>
        <v>1180729581.5999999</v>
      </c>
      <c r="E185" s="15">
        <f>IF(D185="","",D185*'Dados brutos atualizados'!G316)</f>
        <v>1180729581.5999999</v>
      </c>
      <c r="F185" s="17">
        <f>IF(E185="","",Deflatores!E4)</f>
        <v>1.5577499438136717</v>
      </c>
      <c r="G185" s="15">
        <f t="shared" si="5"/>
        <v>1839281439.3965399</v>
      </c>
      <c r="H185" s="15">
        <f>IF('Dados tratados'!E179="","",'Dados tratados'!E179)</f>
        <v>2609716</v>
      </c>
      <c r="I185" s="15">
        <f t="shared" si="6"/>
        <v>704.78222128252264</v>
      </c>
      <c r="J185" s="14"/>
      <c r="K185" s="14" t="s">
        <v>417</v>
      </c>
      <c r="L185" s="14" t="s">
        <v>135</v>
      </c>
      <c r="M185" s="18" t="s">
        <v>421</v>
      </c>
      <c r="N185" s="14" t="s">
        <v>466</v>
      </c>
    </row>
    <row r="186" spans="1:14" ht="24">
      <c r="A186" s="4" t="s">
        <v>117</v>
      </c>
      <c r="B186" s="13">
        <v>2017</v>
      </c>
      <c r="C186" s="4" t="s">
        <v>416</v>
      </c>
      <c r="D186" s="15">
        <f>IF('Dados brutos atualizados'!E317="","",'Dados brutos atualizados'!E317)</f>
        <v>1581003181.51</v>
      </c>
      <c r="E186" s="15">
        <f>IF(D186="","",D186*'Dados brutos atualizados'!G317)</f>
        <v>1581003181.51</v>
      </c>
      <c r="F186" s="17">
        <f>IF(E186="","",Deflatores!E5)</f>
        <v>1.5058526397423999</v>
      </c>
      <c r="G186" s="15">
        <f t="shared" si="5"/>
        <v>2380757814.317966</v>
      </c>
      <c r="H186" s="15">
        <f>IF('Dados tratados'!E201="","",'Dados tratados'!E201)</f>
        <v>2627482</v>
      </c>
      <c r="I186" s="15">
        <f t="shared" si="6"/>
        <v>906.09862001641341</v>
      </c>
      <c r="J186" s="14"/>
      <c r="K186" s="14" t="s">
        <v>417</v>
      </c>
      <c r="L186" s="14" t="s">
        <v>135</v>
      </c>
      <c r="M186" s="18" t="s">
        <v>470</v>
      </c>
      <c r="N186" s="14" t="s">
        <v>420</v>
      </c>
    </row>
    <row r="187" spans="1:14" ht="15.75">
      <c r="A187" s="4" t="s">
        <v>117</v>
      </c>
      <c r="B187" s="13">
        <v>2017</v>
      </c>
      <c r="C187" s="4" t="s">
        <v>422</v>
      </c>
      <c r="D187" s="15">
        <f>IF('Dados brutos atualizados'!E318="","",'Dados brutos atualizados'!E318)</f>
        <v>47.05</v>
      </c>
      <c r="E187" s="15">
        <f>IF(D187="","",D187*'Dados brutos atualizados'!G318)</f>
        <v>47.05</v>
      </c>
      <c r="F187" s="4"/>
      <c r="G187" s="14"/>
      <c r="H187" s="14"/>
      <c r="I187" s="14"/>
      <c r="J187" s="15">
        <f>IF(D187="","",D187)</f>
        <v>47.05</v>
      </c>
      <c r="K187" s="14" t="s">
        <v>423</v>
      </c>
      <c r="L187" s="14" t="s">
        <v>135</v>
      </c>
      <c r="M187" s="18" t="s">
        <v>472</v>
      </c>
      <c r="N187" s="14" t="s">
        <v>426</v>
      </c>
    </row>
    <row r="188" spans="1:14" ht="24">
      <c r="A188" s="4" t="s">
        <v>117</v>
      </c>
      <c r="B188" s="13">
        <v>2017</v>
      </c>
      <c r="C188" s="4" t="s">
        <v>428</v>
      </c>
      <c r="D188" s="15">
        <f>IF('Dados brutos atualizados'!E319="","",'Dados brutos atualizados'!E319)</f>
        <v>386388558.02999997</v>
      </c>
      <c r="E188" s="15">
        <f>IF(D188="","",D188*'Dados brutos atualizados'!G319)</f>
        <v>386388558.02999997</v>
      </c>
      <c r="F188" s="17">
        <f>IF(E188="","",Deflatores!E5)</f>
        <v>1.5058526397423999</v>
      </c>
      <c r="G188" s="15">
        <f>IF(OR(E188="",F188=""),"",E188*F188)</f>
        <v>581844230.07573497</v>
      </c>
      <c r="H188" s="14"/>
      <c r="I188" s="14"/>
      <c r="J188" s="14"/>
      <c r="K188" s="14" t="s">
        <v>417</v>
      </c>
      <c r="L188" s="14" t="s">
        <v>431</v>
      </c>
      <c r="M188" s="18" t="s">
        <v>470</v>
      </c>
      <c r="N188" s="14" t="s">
        <v>432</v>
      </c>
    </row>
    <row r="189" spans="1:14" ht="15.75">
      <c r="A189" s="4" t="s">
        <v>117</v>
      </c>
      <c r="B189" s="13">
        <v>2017</v>
      </c>
      <c r="C189" s="4" t="s">
        <v>433</v>
      </c>
      <c r="D189" s="15">
        <f>IF('Dados brutos atualizados'!E320="","",'Dados brutos atualizados'!E320)</f>
        <v>6525657824.3500004</v>
      </c>
      <c r="E189" s="15">
        <f>IF(D189="","",D189*'Dados brutos atualizados'!G320)</f>
        <v>6525657824.3500004</v>
      </c>
      <c r="F189" s="17">
        <f>IF(E189="","",Deflatores!E5)</f>
        <v>1.5058526397423999</v>
      </c>
      <c r="G189" s="15">
        <f>IF(OR(E189="",F189=""),"",E189*F189)</f>
        <v>9826679060.8530941</v>
      </c>
      <c r="H189" s="15">
        <f>IF('Dados tratados'!E201="","",'Dados tratados'!E201)</f>
        <v>2627482</v>
      </c>
      <c r="I189" s="15">
        <f>IF(OR(G189="",H189="",H189=0),"",G189/H189)</f>
        <v>3739.9605633275869</v>
      </c>
      <c r="J189" s="14"/>
      <c r="K189" s="14" t="s">
        <v>417</v>
      </c>
      <c r="L189" s="14" t="s">
        <v>135</v>
      </c>
      <c r="M189" s="18" t="s">
        <v>473</v>
      </c>
      <c r="N189" s="14" t="s">
        <v>436</v>
      </c>
    </row>
    <row r="190" spans="1:14" ht="15.75">
      <c r="A190" s="4" t="s">
        <v>117</v>
      </c>
      <c r="B190" s="13">
        <v>2017</v>
      </c>
      <c r="C190" s="4" t="s">
        <v>438</v>
      </c>
      <c r="D190" s="15">
        <f>IF('Dados brutos atualizados'!E321="","",'Dados brutos atualizados'!E321)</f>
        <v>6367882365.8999996</v>
      </c>
      <c r="E190" s="15">
        <f>IF(D190="","",D190*'Dados brutos atualizados'!G321)</f>
        <v>6367882365.8999996</v>
      </c>
      <c r="F190" s="17">
        <f>IF(E190="","",Deflatores!E5)</f>
        <v>1.5058526397423999</v>
      </c>
      <c r="G190" s="15">
        <f>IF(OR(E190="",F190=""),"",E190*F190)</f>
        <v>9589092470.259594</v>
      </c>
      <c r="H190" s="15">
        <f>IF('Dados tratados'!E201="","",'Dados tratados'!E201)</f>
        <v>2627482</v>
      </c>
      <c r="I190" s="15">
        <f>IF(OR(G190="",H190="",H190=0),"",G190/H190)</f>
        <v>3649.5368837006663</v>
      </c>
      <c r="J190" s="14"/>
      <c r="K190" s="14" t="s">
        <v>417</v>
      </c>
      <c r="L190" s="14" t="s">
        <v>135</v>
      </c>
      <c r="M190" s="18" t="s">
        <v>473</v>
      </c>
      <c r="N190" s="14" t="s">
        <v>436</v>
      </c>
    </row>
    <row r="191" spans="1:14" ht="15.75">
      <c r="A191" s="4" t="s">
        <v>117</v>
      </c>
      <c r="B191" s="13">
        <v>2017</v>
      </c>
      <c r="C191" s="4" t="s">
        <v>440</v>
      </c>
      <c r="D191" s="15">
        <f>IF('Dados brutos atualizados'!E322="","",'Dados brutos atualizados'!E322)</f>
        <v>6306144271.5</v>
      </c>
      <c r="E191" s="15">
        <f>IF(D191="","",D191*'Dados brutos atualizados'!G322)</f>
        <v>6306144271.5</v>
      </c>
      <c r="F191" s="17">
        <f>IF(E191="","",Deflatores!E5)</f>
        <v>1.5058526397423999</v>
      </c>
      <c r="G191" s="15">
        <f>IF(OR(E191="",F191=""),"",E191*F191)</f>
        <v>9496123997.8346882</v>
      </c>
      <c r="H191" s="15">
        <f>IF('Dados tratados'!E201="","",'Dados tratados'!E201)</f>
        <v>2627482</v>
      </c>
      <c r="I191" s="15">
        <f>IF(OR(G191="",H191="",H191=0),"",G191/H191)</f>
        <v>3614.153778345461</v>
      </c>
      <c r="J191" s="14"/>
      <c r="K191" s="14" t="s">
        <v>417</v>
      </c>
      <c r="L191" s="14" t="s">
        <v>135</v>
      </c>
      <c r="M191" s="18" t="s">
        <v>473</v>
      </c>
      <c r="N191" s="14" t="s">
        <v>436</v>
      </c>
    </row>
    <row r="192" spans="1:14" ht="15.75">
      <c r="A192" s="4" t="s">
        <v>117</v>
      </c>
      <c r="B192" s="13">
        <v>2017</v>
      </c>
      <c r="C192" s="4" t="s">
        <v>442</v>
      </c>
      <c r="D192" s="15">
        <f>IF('Dados brutos atualizados'!E323="","",'Dados brutos atualizados'!E323)</f>
        <v>2643555559.9099998</v>
      </c>
      <c r="E192" s="15">
        <f>IF(D192="","",D192*'Dados brutos atualizados'!G323)</f>
        <v>2643555559.9099998</v>
      </c>
      <c r="F192" s="17">
        <f>IF(E192="","",Deflatores!E5)</f>
        <v>1.5058526397423999</v>
      </c>
      <c r="G192" s="15">
        <f>IF(OR(E192="",F192=""),"",E192*F192)</f>
        <v>3980805118.1961713</v>
      </c>
      <c r="H192" s="15">
        <f>IF('Dados tratados'!E201="","",'Dados tratados'!E201)</f>
        <v>2627482</v>
      </c>
      <c r="I192" s="15">
        <f>IF(OR(G192="",H192="",H192=0),"",G192/H192)</f>
        <v>1515.0646581769813</v>
      </c>
      <c r="J192" s="14"/>
      <c r="K192" s="14" t="s">
        <v>417</v>
      </c>
      <c r="L192" s="14" t="s">
        <v>135</v>
      </c>
      <c r="M192" s="18" t="s">
        <v>472</v>
      </c>
      <c r="N192" s="14" t="s">
        <v>444</v>
      </c>
    </row>
    <row r="193" spans="1:14" ht="15.75">
      <c r="A193" s="4" t="s">
        <v>117</v>
      </c>
      <c r="B193" s="13">
        <v>2017</v>
      </c>
      <c r="C193" s="4" t="s">
        <v>374</v>
      </c>
      <c r="D193" s="15">
        <f>IF('Dados brutos atualizados'!E324="","",'Dados brutos atualizados'!E324)</f>
        <v>5.3360000000000003</v>
      </c>
      <c r="E193" s="15">
        <f>IF(D193="","",D193*'Dados brutos atualizados'!G324)</f>
        <v>5.3360000000000003</v>
      </c>
      <c r="F193" s="4"/>
      <c r="G193" s="14"/>
      <c r="H193" s="14"/>
      <c r="I193" s="14"/>
      <c r="J193" s="15">
        <f t="shared" ref="J193:J198" si="7">IF(D193="","",D193)</f>
        <v>5.3360000000000003</v>
      </c>
      <c r="K193" s="14" t="s">
        <v>375</v>
      </c>
      <c r="L193" s="14" t="s">
        <v>378</v>
      </c>
      <c r="M193" s="18" t="s">
        <v>380</v>
      </c>
      <c r="N193" s="14" t="s">
        <v>379</v>
      </c>
    </row>
    <row r="194" spans="1:14" ht="15.75">
      <c r="A194" s="4" t="s">
        <v>117</v>
      </c>
      <c r="B194" s="13">
        <v>2017</v>
      </c>
      <c r="C194" s="4" t="s">
        <v>381</v>
      </c>
      <c r="D194" s="15">
        <f>IF('Dados brutos atualizados'!E325="","",'Dados brutos atualizados'!E325)</f>
        <v>6.174518</v>
      </c>
      <c r="E194" s="15">
        <f>IF(D194="","",D194*'Dados brutos atualizados'!G325)</f>
        <v>6.174518</v>
      </c>
      <c r="F194" s="4"/>
      <c r="G194" s="14"/>
      <c r="H194" s="14"/>
      <c r="I194" s="14"/>
      <c r="J194" s="15">
        <f t="shared" si="7"/>
        <v>6.174518</v>
      </c>
      <c r="K194" s="14" t="s">
        <v>375</v>
      </c>
      <c r="L194" s="14" t="s">
        <v>378</v>
      </c>
      <c r="M194" s="18" t="s">
        <v>382</v>
      </c>
      <c r="N194" s="14" t="s">
        <v>379</v>
      </c>
    </row>
    <row r="195" spans="1:14" ht="15.75">
      <c r="A195" s="4" t="s">
        <v>117</v>
      </c>
      <c r="B195" s="13">
        <v>2017</v>
      </c>
      <c r="C195" s="4" t="s">
        <v>383</v>
      </c>
      <c r="D195" s="15">
        <f>IF('Dados brutos atualizados'!E326="","",'Dados brutos atualizados'!E326)</f>
        <v>0.91990700000000003</v>
      </c>
      <c r="E195" s="15">
        <f>IF(D195="","",D195*'Dados brutos atualizados'!G326)</f>
        <v>0.91990700000000003</v>
      </c>
      <c r="F195" s="4"/>
      <c r="G195" s="14"/>
      <c r="H195" s="14"/>
      <c r="I195" s="14"/>
      <c r="J195" s="15">
        <f t="shared" si="7"/>
        <v>0.91990700000000003</v>
      </c>
      <c r="K195" s="14" t="s">
        <v>384</v>
      </c>
      <c r="L195" s="14" t="s">
        <v>378</v>
      </c>
      <c r="M195" s="18" t="s">
        <v>380</v>
      </c>
      <c r="N195" s="14" t="s">
        <v>379</v>
      </c>
    </row>
    <row r="196" spans="1:14" ht="15.75">
      <c r="A196" s="4" t="s">
        <v>117</v>
      </c>
      <c r="B196" s="13">
        <v>2017</v>
      </c>
      <c r="C196" s="4" t="s">
        <v>386</v>
      </c>
      <c r="D196" s="15">
        <f>IF('Dados brutos atualizados'!E327="","",'Dados brutos atualizados'!E327)</f>
        <v>0.965418</v>
      </c>
      <c r="E196" s="15">
        <f>IF(D196="","",D196*'Dados brutos atualizados'!G327)</f>
        <v>0.965418</v>
      </c>
      <c r="F196" s="4"/>
      <c r="G196" s="14"/>
      <c r="H196" s="14"/>
      <c r="I196" s="14"/>
      <c r="J196" s="15">
        <f t="shared" si="7"/>
        <v>0.965418</v>
      </c>
      <c r="K196" s="14" t="s">
        <v>384</v>
      </c>
      <c r="L196" s="14" t="s">
        <v>378</v>
      </c>
      <c r="M196" s="18" t="s">
        <v>382</v>
      </c>
      <c r="N196" s="14" t="s">
        <v>379</v>
      </c>
    </row>
    <row r="197" spans="1:14" ht="24">
      <c r="A197" s="4" t="s">
        <v>117</v>
      </c>
      <c r="B197" s="13">
        <v>2017</v>
      </c>
      <c r="C197" s="4" t="s">
        <v>587</v>
      </c>
      <c r="D197" s="15">
        <f>IF(OR('Dados brutos atualizados'!E326="",'Dados brutos atualizados'!E324=""),"",'Dados brutos atualizados'!E326*'Dados brutos atualizados'!E324)</f>
        <v>4.9086237520000005</v>
      </c>
      <c r="E197" s="15">
        <f>IF(D197="","",D197)</f>
        <v>4.9086237520000005</v>
      </c>
      <c r="F197" s="4"/>
      <c r="G197" s="14"/>
      <c r="H197" s="14"/>
      <c r="I197" s="14"/>
      <c r="J197" s="15">
        <f t="shared" si="7"/>
        <v>4.9086237520000005</v>
      </c>
      <c r="K197" s="14" t="s">
        <v>588</v>
      </c>
      <c r="L197" s="14" t="s">
        <v>589</v>
      </c>
      <c r="M197" s="18" t="s">
        <v>380</v>
      </c>
      <c r="N197" s="14" t="s">
        <v>590</v>
      </c>
    </row>
    <row r="198" spans="1:14" ht="24">
      <c r="A198" s="4" t="s">
        <v>117</v>
      </c>
      <c r="B198" s="13">
        <v>2017</v>
      </c>
      <c r="C198" s="4" t="s">
        <v>591</v>
      </c>
      <c r="D198" s="15">
        <f>IF(OR('Dados brutos atualizados'!E327="",'Dados brutos atualizados'!E325=""),"",'Dados brutos atualizados'!E327*'Dados brutos atualizados'!E325)</f>
        <v>5.9609908185240004</v>
      </c>
      <c r="E198" s="15">
        <f>IF(D198="","",D198)</f>
        <v>5.9609908185240004</v>
      </c>
      <c r="F198" s="4"/>
      <c r="G198" s="14"/>
      <c r="H198" s="14"/>
      <c r="I198" s="14"/>
      <c r="J198" s="15">
        <f t="shared" si="7"/>
        <v>5.9609908185240004</v>
      </c>
      <c r="K198" s="14" t="s">
        <v>588</v>
      </c>
      <c r="L198" s="14" t="s">
        <v>589</v>
      </c>
      <c r="M198" s="18" t="s">
        <v>382</v>
      </c>
      <c r="N198" s="14" t="s">
        <v>590</v>
      </c>
    </row>
    <row r="199" spans="1:14" ht="24">
      <c r="A199" s="4" t="s">
        <v>117</v>
      </c>
      <c r="B199" s="13">
        <v>2017</v>
      </c>
      <c r="C199" s="4" t="s">
        <v>394</v>
      </c>
      <c r="D199" s="15">
        <f>IF('Dados brutos atualizados'!E328="","",'Dados brutos atualizados'!E328)</f>
        <v>61592346.898000002</v>
      </c>
      <c r="E199" s="15">
        <f>IF(D199="","",D199*'Dados brutos atualizados'!G328)</f>
        <v>61592346898</v>
      </c>
      <c r="F199" s="17">
        <f>IF(E199="","",Deflatores!E5)</f>
        <v>1.5058526397423999</v>
      </c>
      <c r="G199" s="15">
        <f>IF(OR(E199="",F199=""),"",E199*F199)</f>
        <v>92748998164.282913</v>
      </c>
      <c r="H199" s="15">
        <f>IF('Dados tratados'!E201="","",'Dados tratados'!E201)</f>
        <v>2627482</v>
      </c>
      <c r="I199" s="15">
        <f>IF(OR(G199="",H199="",H199=0),"",G199/H199)</f>
        <v>35299.575092915162</v>
      </c>
      <c r="J199" s="14"/>
      <c r="K199" s="14" t="s">
        <v>395</v>
      </c>
      <c r="L199" s="14" t="s">
        <v>135</v>
      </c>
      <c r="M199" s="18" t="s">
        <v>399</v>
      </c>
      <c r="N199" s="14" t="s">
        <v>398</v>
      </c>
    </row>
    <row r="200" spans="1:14" ht="24">
      <c r="A200" s="4" t="s">
        <v>117</v>
      </c>
      <c r="B200" s="13">
        <v>2017</v>
      </c>
      <c r="C200" s="4" t="s">
        <v>400</v>
      </c>
      <c r="D200" s="15">
        <f>IF('Dados brutos atualizados'!E329="","",'Dados brutos atualizados'!E329)</f>
        <v>23441.59</v>
      </c>
      <c r="E200" s="15">
        <f>IF(D200="","",D200*'Dados brutos atualizados'!G329)</f>
        <v>23441.59</v>
      </c>
      <c r="F200" s="17">
        <f>IF(E200="","",Deflatores!E5)</f>
        <v>1.5058526397423999</v>
      </c>
      <c r="G200" s="15">
        <f>IF(OR(E200="",F200=""),"",E200*F200)</f>
        <v>35299.580181259043</v>
      </c>
      <c r="H200" s="14"/>
      <c r="I200" s="14"/>
      <c r="J200" s="14"/>
      <c r="K200" s="14" t="s">
        <v>401</v>
      </c>
      <c r="L200" s="14" t="s">
        <v>135</v>
      </c>
      <c r="M200" s="18" t="s">
        <v>399</v>
      </c>
      <c r="N200" s="14" t="s">
        <v>404</v>
      </c>
    </row>
    <row r="201" spans="1:14" ht="15.75">
      <c r="A201" s="4" t="s">
        <v>117</v>
      </c>
      <c r="B201" s="13">
        <v>2017</v>
      </c>
      <c r="C201" s="4" t="s">
        <v>445</v>
      </c>
      <c r="D201" s="15">
        <f>IF('Dados brutos atualizados'!E330="","",'Dados brutos atualizados'!E330)</f>
        <v>2627482</v>
      </c>
      <c r="E201" s="15">
        <f>IF(D201="","",D201*'Dados brutos atualizados'!G330)</f>
        <v>2627482</v>
      </c>
      <c r="F201" s="4"/>
      <c r="G201" s="14"/>
      <c r="H201" s="14"/>
      <c r="I201" s="14"/>
      <c r="J201" s="15">
        <f>IF(D201="","",D201)</f>
        <v>2627482</v>
      </c>
      <c r="K201" s="14" t="s">
        <v>446</v>
      </c>
      <c r="L201" s="14" t="s">
        <v>449</v>
      </c>
      <c r="M201" s="18" t="s">
        <v>451</v>
      </c>
      <c r="N201" s="14" t="s">
        <v>450</v>
      </c>
    </row>
    <row r="202" spans="1:14" ht="15.75">
      <c r="A202" s="4" t="s">
        <v>117</v>
      </c>
      <c r="B202" s="13">
        <v>2017</v>
      </c>
      <c r="C202" s="4" t="s">
        <v>452</v>
      </c>
      <c r="D202" s="15">
        <f>IF('Dados brutos atualizados'!E331="","",'Dados brutos atualizados'!E331)</f>
        <v>5618803666.25</v>
      </c>
      <c r="E202" s="15">
        <f>IF(D202="","",D202*'Dados brutos atualizados'!G331)</f>
        <v>5618803666.25</v>
      </c>
      <c r="F202" s="17">
        <f>IF(E202="","",Deflatores!E5)</f>
        <v>1.5058526397423999</v>
      </c>
      <c r="G202" s="15">
        <f t="shared" ref="G202:G208" si="8">IF(OR(E202="",F202=""),"",E202*F202)</f>
        <v>8461090333.0168371</v>
      </c>
      <c r="H202" s="15">
        <f>IF('Dados tratados'!E201="","",'Dados tratados'!E201)</f>
        <v>2627482</v>
      </c>
      <c r="I202" s="15">
        <f t="shared" ref="I202:I208" si="9">IF(OR(G202="",H202="",H202=0),"",G202/H202)</f>
        <v>3220.2277058479704</v>
      </c>
      <c r="J202" s="14"/>
      <c r="K202" s="14" t="s">
        <v>417</v>
      </c>
      <c r="L202" s="14" t="s">
        <v>135</v>
      </c>
      <c r="M202" s="18" t="s">
        <v>472</v>
      </c>
      <c r="N202" s="14" t="s">
        <v>455</v>
      </c>
    </row>
    <row r="203" spans="1:14" ht="15.75">
      <c r="A203" s="4" t="s">
        <v>117</v>
      </c>
      <c r="B203" s="13">
        <v>2017</v>
      </c>
      <c r="C203" s="4" t="s">
        <v>456</v>
      </c>
      <c r="D203" s="15">
        <f>IF('Dados brutos atualizados'!E332="","",'Dados brutos atualizados'!E332)</f>
        <v>5618803666.25</v>
      </c>
      <c r="E203" s="15">
        <f>IF(D203="","",D203*'Dados brutos atualizados'!G332)</f>
        <v>5618803666.25</v>
      </c>
      <c r="F203" s="17">
        <f>IF(E203="","",Deflatores!E5)</f>
        <v>1.5058526397423999</v>
      </c>
      <c r="G203" s="15">
        <f t="shared" si="8"/>
        <v>8461090333.0168371</v>
      </c>
      <c r="H203" s="15">
        <f>IF('Dados tratados'!E201="","",'Dados tratados'!E201)</f>
        <v>2627482</v>
      </c>
      <c r="I203" s="15">
        <f t="shared" si="9"/>
        <v>3220.2277058479704</v>
      </c>
      <c r="J203" s="14"/>
      <c r="K203" s="14" t="s">
        <v>417</v>
      </c>
      <c r="L203" s="14" t="s">
        <v>135</v>
      </c>
      <c r="M203" s="18" t="s">
        <v>472</v>
      </c>
      <c r="N203" s="14" t="s">
        <v>459</v>
      </c>
    </row>
    <row r="204" spans="1:14" ht="15.75">
      <c r="A204" s="4" t="s">
        <v>117</v>
      </c>
      <c r="B204" s="13">
        <v>2017</v>
      </c>
      <c r="C204" s="4" t="s">
        <v>460</v>
      </c>
      <c r="D204" s="15">
        <f>IF('Dados brutos atualizados'!E333="","",'Dados brutos atualizados'!E333)</f>
        <v>6810527069.4799995</v>
      </c>
      <c r="E204" s="15">
        <f>IF(D204="","",D204*'Dados brutos atualizados'!G333)</f>
        <v>6810527069.4799995</v>
      </c>
      <c r="F204" s="17">
        <f>IF(E204="","",Deflatores!E5)</f>
        <v>1.5058526397423999</v>
      </c>
      <c r="G204" s="15">
        <f t="shared" si="8"/>
        <v>10255650165.613529</v>
      </c>
      <c r="H204" s="15">
        <f>IF('Dados tratados'!E201="","",'Dados tratados'!E201)</f>
        <v>2627482</v>
      </c>
      <c r="I204" s="15">
        <f t="shared" si="9"/>
        <v>3903.2237578082472</v>
      </c>
      <c r="J204" s="14"/>
      <c r="K204" s="14" t="s">
        <v>417</v>
      </c>
      <c r="L204" s="14" t="s">
        <v>135</v>
      </c>
      <c r="M204" s="18" t="s">
        <v>470</v>
      </c>
      <c r="N204" s="14" t="s">
        <v>462</v>
      </c>
    </row>
    <row r="205" spans="1:14" ht="24">
      <c r="A205" s="4" t="s">
        <v>117</v>
      </c>
      <c r="B205" s="13">
        <v>2017</v>
      </c>
      <c r="C205" s="4" t="s">
        <v>592</v>
      </c>
      <c r="D205" s="15">
        <f>IF(OR('Dados tratados'!E204="",'Dados tratados'!E188=""),"",'Dados tratados'!E204-'Dados tratados'!E188)</f>
        <v>6424138511.4499998</v>
      </c>
      <c r="E205" s="15">
        <f>IF(D205="","",D205)</f>
        <v>6424138511.4499998</v>
      </c>
      <c r="F205" s="17">
        <f>IF(E205="","",Deflatores!E5)</f>
        <v>1.5058526397423999</v>
      </c>
      <c r="G205" s="15">
        <f t="shared" si="8"/>
        <v>9673805935.5377941</v>
      </c>
      <c r="H205" s="15">
        <f>IF('Dados tratados'!E201="","",'Dados tratados'!E201)</f>
        <v>2627482</v>
      </c>
      <c r="I205" s="15">
        <f t="shared" si="9"/>
        <v>3681.7781950695739</v>
      </c>
      <c r="J205" s="14"/>
      <c r="K205" s="14" t="s">
        <v>417</v>
      </c>
      <c r="L205" s="14" t="s">
        <v>593</v>
      </c>
      <c r="M205" s="18" t="s">
        <v>594</v>
      </c>
      <c r="N205" s="14" t="s">
        <v>595</v>
      </c>
    </row>
    <row r="206" spans="1:14" ht="36">
      <c r="A206" s="4" t="s">
        <v>117</v>
      </c>
      <c r="B206" s="13">
        <v>2017</v>
      </c>
      <c r="C206" s="4" t="s">
        <v>463</v>
      </c>
      <c r="D206" s="15">
        <f>IF('Dados brutos atualizados'!E334="","",'Dados brutos atualizados'!E334)</f>
        <v>1798178356.55</v>
      </c>
      <c r="E206" s="15">
        <f>IF(D206="","",D206*'Dados brutos atualizados'!G334)</f>
        <v>1798178356.55</v>
      </c>
      <c r="F206" s="17">
        <f>IF(E206="","",Deflatores!E5)</f>
        <v>1.5058526397423999</v>
      </c>
      <c r="G206" s="15">
        <f t="shared" si="8"/>
        <v>2707791624.938468</v>
      </c>
      <c r="H206" s="15">
        <f>IF('Dados tratados'!E201="","",'Dados tratados'!E201)</f>
        <v>2627482</v>
      </c>
      <c r="I206" s="15">
        <f t="shared" si="9"/>
        <v>1030.5652426690147</v>
      </c>
      <c r="J206" s="14"/>
      <c r="K206" s="14" t="s">
        <v>417</v>
      </c>
      <c r="L206" s="14" t="s">
        <v>135</v>
      </c>
      <c r="M206" s="18" t="s">
        <v>470</v>
      </c>
      <c r="N206" s="14" t="s">
        <v>466</v>
      </c>
    </row>
    <row r="207" spans="1:14" ht="36">
      <c r="A207" s="4" t="s">
        <v>117</v>
      </c>
      <c r="B207" s="13">
        <v>2017</v>
      </c>
      <c r="C207" s="4" t="s">
        <v>467</v>
      </c>
      <c r="D207" s="15">
        <f>IF('Dados brutos atualizados'!E335="","",'Dados brutos atualizados'!E335)</f>
        <v>1278098372.46</v>
      </c>
      <c r="E207" s="15">
        <f>IF(D207="","",D207*'Dados brutos atualizados'!G335)</f>
        <v>1278098372.46</v>
      </c>
      <c r="F207" s="17">
        <f>IF(E207="","",Deflatores!E5)</f>
        <v>1.5058526397423999</v>
      </c>
      <c r="G207" s="15">
        <f t="shared" si="8"/>
        <v>1924627808.019356</v>
      </c>
      <c r="H207" s="15">
        <f>IF('Dados tratados'!E201="","",'Dados tratados'!E201)</f>
        <v>2627482</v>
      </c>
      <c r="I207" s="15">
        <f t="shared" si="9"/>
        <v>732.49895071378455</v>
      </c>
      <c r="J207" s="14"/>
      <c r="K207" s="14" t="s">
        <v>417</v>
      </c>
      <c r="L207" s="14" t="s">
        <v>135</v>
      </c>
      <c r="M207" s="18" t="s">
        <v>470</v>
      </c>
      <c r="N207" s="14" t="s">
        <v>466</v>
      </c>
    </row>
    <row r="208" spans="1:14" ht="24">
      <c r="A208" s="4" t="s">
        <v>117</v>
      </c>
      <c r="B208" s="13">
        <v>2018</v>
      </c>
      <c r="C208" s="4" t="s">
        <v>416</v>
      </c>
      <c r="D208" s="15">
        <f>IF('Dados brutos atualizados'!E336="","",'Dados brutos atualizados'!E336)</f>
        <v>1830239814.24</v>
      </c>
      <c r="E208" s="15">
        <f>IF(D208="","",D208*'Dados brutos atualizados'!G336)</f>
        <v>1830239814.24</v>
      </c>
      <c r="F208" s="17">
        <f>IF(E208="","",Deflatores!E6)</f>
        <v>1.4526164226546885</v>
      </c>
      <c r="G208" s="15">
        <f t="shared" si="8"/>
        <v>2658636411.5614905</v>
      </c>
      <c r="H208" s="15">
        <f>IF('Dados tratados'!E217="","",'Dados tratados'!E217)</f>
        <v>2643247</v>
      </c>
      <c r="I208" s="15">
        <f t="shared" si="9"/>
        <v>1005.8221617432993</v>
      </c>
      <c r="J208" s="14"/>
      <c r="K208" s="14" t="s">
        <v>417</v>
      </c>
      <c r="L208" s="14" t="s">
        <v>135</v>
      </c>
      <c r="M208" s="18" t="s">
        <v>481</v>
      </c>
      <c r="N208" s="14" t="s">
        <v>420</v>
      </c>
    </row>
    <row r="209" spans="1:14" ht="15.75">
      <c r="A209" s="4" t="s">
        <v>117</v>
      </c>
      <c r="B209" s="13">
        <v>2018</v>
      </c>
      <c r="C209" s="4" t="s">
        <v>422</v>
      </c>
      <c r="D209" s="15">
        <f>IF('Dados brutos atualizados'!E337="","",'Dados brutos atualizados'!E337)</f>
        <v>45.3</v>
      </c>
      <c r="E209" s="15">
        <f>IF(D209="","",D209*'Dados brutos atualizados'!G337)</f>
        <v>45.3</v>
      </c>
      <c r="F209" s="4"/>
      <c r="G209" s="14"/>
      <c r="H209" s="14"/>
      <c r="I209" s="14"/>
      <c r="J209" s="15">
        <f>IF(D209="","",D209)</f>
        <v>45.3</v>
      </c>
      <c r="K209" s="14" t="s">
        <v>423</v>
      </c>
      <c r="L209" s="14" t="s">
        <v>135</v>
      </c>
      <c r="M209" s="18" t="s">
        <v>482</v>
      </c>
      <c r="N209" s="14" t="s">
        <v>426</v>
      </c>
    </row>
    <row r="210" spans="1:14" ht="24">
      <c r="A210" s="4" t="s">
        <v>117</v>
      </c>
      <c r="B210" s="13">
        <v>2018</v>
      </c>
      <c r="C210" s="4" t="s">
        <v>428</v>
      </c>
      <c r="D210" s="15">
        <f>IF('Dados brutos atualizados'!E338="","",'Dados brutos atualizados'!E338)</f>
        <v>413801704.95999998</v>
      </c>
      <c r="E210" s="15">
        <f>IF(D210="","",D210*'Dados brutos atualizados'!G338)</f>
        <v>413801704.95999998</v>
      </c>
      <c r="F210" s="17">
        <f>IF(E210="","",Deflatores!E6)</f>
        <v>1.4526164226546885</v>
      </c>
      <c r="G210" s="15">
        <f t="shared" ref="G210:G216" si="10">IF(OR(E210="",F210=""),"",E210*F210)</f>
        <v>601095152.34740603</v>
      </c>
      <c r="H210" s="14"/>
      <c r="I210" s="14"/>
      <c r="J210" s="14"/>
      <c r="K210" s="14" t="s">
        <v>417</v>
      </c>
      <c r="L210" s="14" t="s">
        <v>431</v>
      </c>
      <c r="M210" s="18" t="s">
        <v>481</v>
      </c>
      <c r="N210" s="14" t="s">
        <v>432</v>
      </c>
    </row>
    <row r="211" spans="1:14" ht="15.75">
      <c r="A211" s="4" t="s">
        <v>117</v>
      </c>
      <c r="B211" s="13">
        <v>2018</v>
      </c>
      <c r="C211" s="4" t="s">
        <v>433</v>
      </c>
      <c r="D211" s="15">
        <f>IF('Dados brutos atualizados'!E339="","",'Dados brutos atualizados'!E339)</f>
        <v>6876456829.6700001</v>
      </c>
      <c r="E211" s="15">
        <f>IF(D211="","",D211*'Dados brutos atualizados'!G339)</f>
        <v>6876456829.6700001</v>
      </c>
      <c r="F211" s="17">
        <f>IF(E211="","",Deflatores!E6)</f>
        <v>1.4526164226546885</v>
      </c>
      <c r="G211" s="15">
        <f t="shared" si="10"/>
        <v>9988854120.4546356</v>
      </c>
      <c r="H211" s="15">
        <f>IF('Dados tratados'!E217="","",'Dados tratados'!E217)</f>
        <v>2643247</v>
      </c>
      <c r="I211" s="15">
        <f>IF(OR(G211="",H211="",H211=0),"",G211/H211)</f>
        <v>3779.0089690651821</v>
      </c>
      <c r="J211" s="14"/>
      <c r="K211" s="14" t="s">
        <v>417</v>
      </c>
      <c r="L211" s="14" t="s">
        <v>135</v>
      </c>
      <c r="M211" s="18" t="s">
        <v>483</v>
      </c>
      <c r="N211" s="14" t="s">
        <v>436</v>
      </c>
    </row>
    <row r="212" spans="1:14" ht="15.75">
      <c r="A212" s="4" t="s">
        <v>117</v>
      </c>
      <c r="B212" s="13">
        <v>2018</v>
      </c>
      <c r="C212" s="4" t="s">
        <v>438</v>
      </c>
      <c r="D212" s="15">
        <f>IF('Dados brutos atualizados'!E340="","",'Dados brutos atualizados'!E340)</f>
        <v>6771621329.1999998</v>
      </c>
      <c r="E212" s="15">
        <f>IF(D212="","",D212*'Dados brutos atualizados'!G340)</f>
        <v>6771621329.1999998</v>
      </c>
      <c r="F212" s="17">
        <f>IF(E212="","",Deflatores!E6)</f>
        <v>1.4526164226546885</v>
      </c>
      <c r="G212" s="15">
        <f t="shared" si="10"/>
        <v>9836568350.7946911</v>
      </c>
      <c r="H212" s="15">
        <f>IF('Dados tratados'!E217="","",'Dados tratados'!E217)</f>
        <v>2643247</v>
      </c>
      <c r="I212" s="15">
        <f>IF(OR(G212="",H212="",H212=0),"",G212/H212)</f>
        <v>3721.395825208424</v>
      </c>
      <c r="J212" s="14"/>
      <c r="K212" s="14" t="s">
        <v>417</v>
      </c>
      <c r="L212" s="14" t="s">
        <v>135</v>
      </c>
      <c r="M212" s="18" t="s">
        <v>483</v>
      </c>
      <c r="N212" s="14" t="s">
        <v>436</v>
      </c>
    </row>
    <row r="213" spans="1:14" ht="15.75">
      <c r="A213" s="4" t="s">
        <v>117</v>
      </c>
      <c r="B213" s="13">
        <v>2018</v>
      </c>
      <c r="C213" s="4" t="s">
        <v>440</v>
      </c>
      <c r="D213" s="15">
        <f>IF('Dados brutos atualizados'!E341="","",'Dados brutos atualizados'!E341)</f>
        <v>6733226157.0799999</v>
      </c>
      <c r="E213" s="15">
        <f>IF(D213="","",D213*'Dados brutos atualizados'!G341)</f>
        <v>6733226157.0799999</v>
      </c>
      <c r="F213" s="17">
        <f>IF(E213="","",Deflatores!E6)</f>
        <v>1.4526164226546885</v>
      </c>
      <c r="G213" s="15">
        <f t="shared" si="10"/>
        <v>9780794893.2225246</v>
      </c>
      <c r="H213" s="15">
        <f>IF('Dados tratados'!E217="","",'Dados tratados'!E217)</f>
        <v>2643247</v>
      </c>
      <c r="I213" s="15">
        <f>IF(OR(G213="",H213="",H213=0),"",G213/H213)</f>
        <v>3700.2954673636345</v>
      </c>
      <c r="J213" s="14"/>
      <c r="K213" s="14" t="s">
        <v>417</v>
      </c>
      <c r="L213" s="14" t="s">
        <v>135</v>
      </c>
      <c r="M213" s="18" t="s">
        <v>483</v>
      </c>
      <c r="N213" s="14" t="s">
        <v>436</v>
      </c>
    </row>
    <row r="214" spans="1:14" ht="15.75">
      <c r="A214" s="4" t="s">
        <v>117</v>
      </c>
      <c r="B214" s="13">
        <v>2018</v>
      </c>
      <c r="C214" s="4" t="s">
        <v>442</v>
      </c>
      <c r="D214" s="15">
        <f>IF('Dados brutos atualizados'!E342="","",'Dados brutos atualizados'!E342)</f>
        <v>2750674917.02</v>
      </c>
      <c r="E214" s="15">
        <f>IF(D214="","",D214*'Dados brutos atualizados'!G342)</f>
        <v>2750674917.02</v>
      </c>
      <c r="F214" s="17">
        <f>IF(E214="","",Deflatores!E6)</f>
        <v>1.4526164226546885</v>
      </c>
      <c r="G214" s="15">
        <f t="shared" si="10"/>
        <v>3995675557.8475747</v>
      </c>
      <c r="H214" s="15">
        <f>IF('Dados tratados'!E217="","",'Dados tratados'!E217)</f>
        <v>2643247</v>
      </c>
      <c r="I214" s="15">
        <f>IF(OR(G214="",H214="",H214=0),"",G214/H214)</f>
        <v>1511.6542486750479</v>
      </c>
      <c r="J214" s="14"/>
      <c r="K214" s="14" t="s">
        <v>417</v>
      </c>
      <c r="L214" s="14" t="s">
        <v>135</v>
      </c>
      <c r="M214" s="18" t="s">
        <v>482</v>
      </c>
      <c r="N214" s="14" t="s">
        <v>444</v>
      </c>
    </row>
    <row r="215" spans="1:14" ht="24">
      <c r="A215" s="4" t="s">
        <v>117</v>
      </c>
      <c r="B215" s="13">
        <v>2018</v>
      </c>
      <c r="C215" s="4" t="s">
        <v>394</v>
      </c>
      <c r="D215" s="15">
        <f>IF('Dados brutos atualizados'!E343="","",'Dados brutos atualizados'!E343)</f>
        <v>66381302.295999996</v>
      </c>
      <c r="E215" s="15">
        <f>IF(D215="","",D215*'Dados brutos atualizados'!G343)</f>
        <v>66381302296</v>
      </c>
      <c r="F215" s="17">
        <f>IF(E215="","",Deflatores!E6)</f>
        <v>1.4526164226546885</v>
      </c>
      <c r="G215" s="15">
        <f t="shared" si="10"/>
        <v>96426569872.374985</v>
      </c>
      <c r="H215" s="15">
        <f>IF('Dados tratados'!E217="","",'Dados tratados'!E217)</f>
        <v>2643247</v>
      </c>
      <c r="I215" s="15">
        <f>IF(OR(G215="",H215="",H215=0),"",G215/H215)</f>
        <v>36480.347796620968</v>
      </c>
      <c r="J215" s="14"/>
      <c r="K215" s="14" t="s">
        <v>395</v>
      </c>
      <c r="L215" s="14" t="s">
        <v>135</v>
      </c>
      <c r="M215" s="18" t="s">
        <v>399</v>
      </c>
      <c r="N215" s="14" t="s">
        <v>398</v>
      </c>
    </row>
    <row r="216" spans="1:14" ht="24">
      <c r="A216" s="4" t="s">
        <v>117</v>
      </c>
      <c r="B216" s="13">
        <v>2018</v>
      </c>
      <c r="C216" s="4" t="s">
        <v>400</v>
      </c>
      <c r="D216" s="15">
        <f>IF('Dados brutos atualizados'!E344="","",'Dados brutos atualizados'!E344)</f>
        <v>25113.54</v>
      </c>
      <c r="E216" s="15">
        <f>IF(D216="","",D216*'Dados brutos atualizados'!G344)</f>
        <v>25113.54</v>
      </c>
      <c r="F216" s="17">
        <f>IF(E216="","",Deflatores!E6)</f>
        <v>1.4526164226546885</v>
      </c>
      <c r="G216" s="15">
        <f t="shared" si="10"/>
        <v>36480.340634995424</v>
      </c>
      <c r="H216" s="14"/>
      <c r="I216" s="14"/>
      <c r="J216" s="14"/>
      <c r="K216" s="14" t="s">
        <v>401</v>
      </c>
      <c r="L216" s="14" t="s">
        <v>135</v>
      </c>
      <c r="M216" s="18" t="s">
        <v>399</v>
      </c>
      <c r="N216" s="14" t="s">
        <v>404</v>
      </c>
    </row>
    <row r="217" spans="1:14" ht="15.75">
      <c r="A217" s="4" t="s">
        <v>117</v>
      </c>
      <c r="B217" s="13">
        <v>2018</v>
      </c>
      <c r="C217" s="4" t="s">
        <v>445</v>
      </c>
      <c r="D217" s="15">
        <f>IF('Dados brutos atualizados'!E345="","",'Dados brutos atualizados'!E345)</f>
        <v>2643247</v>
      </c>
      <c r="E217" s="15">
        <f>IF(D217="","",D217*'Dados brutos atualizados'!G345)</f>
        <v>2643247</v>
      </c>
      <c r="F217" s="4"/>
      <c r="G217" s="14"/>
      <c r="H217" s="14"/>
      <c r="I217" s="14"/>
      <c r="J217" s="15">
        <f>IF(D217="","",D217)</f>
        <v>2643247</v>
      </c>
      <c r="K217" s="14" t="s">
        <v>446</v>
      </c>
      <c r="L217" s="14" t="s">
        <v>449</v>
      </c>
      <c r="M217" s="18" t="s">
        <v>451</v>
      </c>
      <c r="N217" s="14" t="s">
        <v>450</v>
      </c>
    </row>
    <row r="218" spans="1:14" ht="15.75">
      <c r="A218" s="4" t="s">
        <v>117</v>
      </c>
      <c r="B218" s="13">
        <v>2018</v>
      </c>
      <c r="C218" s="4" t="s">
        <v>452</v>
      </c>
      <c r="D218" s="15">
        <f>IF('Dados brutos atualizados'!E346="","",'Dados brutos atualizados'!E346)</f>
        <v>6082259997.6400003</v>
      </c>
      <c r="E218" s="15">
        <f>IF(D218="","",D218*'Dados brutos atualizados'!G346)</f>
        <v>6082259997.6400003</v>
      </c>
      <c r="F218" s="17">
        <f>IF(E218="","",Deflatores!E6)</f>
        <v>1.4526164226546885</v>
      </c>
      <c r="G218" s="15">
        <f t="shared" ref="G218:G224" si="11">IF(OR(E218="",F218=""),"",E218*F218)</f>
        <v>8835190759.4275322</v>
      </c>
      <c r="H218" s="15">
        <f>IF('Dados tratados'!E217="","",'Dados tratados'!E217)</f>
        <v>2643247</v>
      </c>
      <c r="I218" s="15">
        <f t="shared" ref="I218:I224" si="12">IF(OR(G218="",H218="",H218=0),"",G218/H218)</f>
        <v>3342.5520806143095</v>
      </c>
      <c r="J218" s="14"/>
      <c r="K218" s="14" t="s">
        <v>417</v>
      </c>
      <c r="L218" s="14" t="s">
        <v>135</v>
      </c>
      <c r="M218" s="18" t="s">
        <v>482</v>
      </c>
      <c r="N218" s="14" t="s">
        <v>455</v>
      </c>
    </row>
    <row r="219" spans="1:14" ht="15.75">
      <c r="A219" s="4" t="s">
        <v>117</v>
      </c>
      <c r="B219" s="13">
        <v>2018</v>
      </c>
      <c r="C219" s="4" t="s">
        <v>456</v>
      </c>
      <c r="D219" s="15">
        <f>IF('Dados brutos atualizados'!E347="","",'Dados brutos atualizados'!E347)</f>
        <v>6072188411.6400003</v>
      </c>
      <c r="E219" s="15">
        <f>IF(D219="","",D219*'Dados brutos atualizados'!G347)</f>
        <v>6072188411.6400003</v>
      </c>
      <c r="F219" s="17">
        <f>IF(E219="","",Deflatores!E6)</f>
        <v>1.4526164226546885</v>
      </c>
      <c r="G219" s="15">
        <f t="shared" si="11"/>
        <v>8820560608.2017517</v>
      </c>
      <c r="H219" s="15">
        <f>IF('Dados tratados'!E217="","",'Dados tratados'!E217)</f>
        <v>2643247</v>
      </c>
      <c r="I219" s="15">
        <f t="shared" si="12"/>
        <v>3337.0171641930369</v>
      </c>
      <c r="J219" s="14"/>
      <c r="K219" s="14" t="s">
        <v>417</v>
      </c>
      <c r="L219" s="14" t="s">
        <v>135</v>
      </c>
      <c r="M219" s="18" t="s">
        <v>482</v>
      </c>
      <c r="N219" s="14" t="s">
        <v>459</v>
      </c>
    </row>
    <row r="220" spans="1:14" ht="15.75">
      <c r="A220" s="4" t="s">
        <v>117</v>
      </c>
      <c r="B220" s="13">
        <v>2018</v>
      </c>
      <c r="C220" s="4" t="s">
        <v>460</v>
      </c>
      <c r="D220" s="15">
        <f>IF('Dados brutos atualizados'!E348="","",'Dados brutos atualizados'!E348)</f>
        <v>7415661352.8800001</v>
      </c>
      <c r="E220" s="15">
        <f>IF(D220="","",D220*'Dados brutos atualizados'!G348)</f>
        <v>7415661352.8800001</v>
      </c>
      <c r="F220" s="17">
        <f>IF(E220="","",Deflatores!E6)</f>
        <v>1.4526164226546885</v>
      </c>
      <c r="G220" s="15">
        <f t="shared" si="11"/>
        <v>10772111466.039173</v>
      </c>
      <c r="H220" s="15">
        <f>IF('Dados tratados'!E217="","",'Dados tratados'!E217)</f>
        <v>2643247</v>
      </c>
      <c r="I220" s="15">
        <f t="shared" si="12"/>
        <v>4075.3329015559925</v>
      </c>
      <c r="J220" s="14"/>
      <c r="K220" s="14" t="s">
        <v>417</v>
      </c>
      <c r="L220" s="14" t="s">
        <v>135</v>
      </c>
      <c r="M220" s="18" t="s">
        <v>481</v>
      </c>
      <c r="N220" s="14" t="s">
        <v>462</v>
      </c>
    </row>
    <row r="221" spans="1:14" ht="24">
      <c r="A221" s="4" t="s">
        <v>117</v>
      </c>
      <c r="B221" s="13">
        <v>2018</v>
      </c>
      <c r="C221" s="4" t="s">
        <v>592</v>
      </c>
      <c r="D221" s="15">
        <f>IF(OR('Dados tratados'!E220="",'Dados tratados'!E210=""),"",'Dados tratados'!E220-'Dados tratados'!E210)</f>
        <v>7001859647.9200001</v>
      </c>
      <c r="E221" s="15">
        <f>IF(D221="","",D221)</f>
        <v>7001859647.9200001</v>
      </c>
      <c r="F221" s="17">
        <f>IF(E221="","",Deflatores!E6)</f>
        <v>1.4526164226546885</v>
      </c>
      <c r="G221" s="15">
        <f t="shared" si="11"/>
        <v>10171016313.691767</v>
      </c>
      <c r="H221" s="15">
        <f>IF('Dados tratados'!E217="","",'Dados tratados'!E217)</f>
        <v>2643247</v>
      </c>
      <c r="I221" s="15">
        <f t="shared" si="12"/>
        <v>3847.9250382925875</v>
      </c>
      <c r="J221" s="14"/>
      <c r="K221" s="14" t="s">
        <v>417</v>
      </c>
      <c r="L221" s="14" t="s">
        <v>593</v>
      </c>
      <c r="M221" s="18" t="s">
        <v>594</v>
      </c>
      <c r="N221" s="14" t="s">
        <v>595</v>
      </c>
    </row>
    <row r="222" spans="1:14" ht="36">
      <c r="A222" s="4" t="s">
        <v>117</v>
      </c>
      <c r="B222" s="13">
        <v>2018</v>
      </c>
      <c r="C222" s="4" t="s">
        <v>463</v>
      </c>
      <c r="D222" s="15">
        <f>IF('Dados brutos atualizados'!E349="","",'Dados brutos atualizados'!E349)</f>
        <v>1948077597.22</v>
      </c>
      <c r="E222" s="15">
        <f>IF(D222="","",D222*'Dados brutos atualizados'!G349)</f>
        <v>1948077597.22</v>
      </c>
      <c r="F222" s="17">
        <f>IF(E222="","",Deflatores!E6)</f>
        <v>1.4526164226546885</v>
      </c>
      <c r="G222" s="15">
        <f t="shared" si="11"/>
        <v>2829809510.3274574</v>
      </c>
      <c r="H222" s="15">
        <f>IF('Dados tratados'!E217="","",'Dados tratados'!E217)</f>
        <v>2643247</v>
      </c>
      <c r="I222" s="15">
        <f t="shared" si="12"/>
        <v>1070.5808085008541</v>
      </c>
      <c r="J222" s="14"/>
      <c r="K222" s="14" t="s">
        <v>417</v>
      </c>
      <c r="L222" s="14" t="s">
        <v>135</v>
      </c>
      <c r="M222" s="18" t="s">
        <v>481</v>
      </c>
      <c r="N222" s="14" t="s">
        <v>466</v>
      </c>
    </row>
    <row r="223" spans="1:14" ht="36">
      <c r="A223" s="4" t="s">
        <v>117</v>
      </c>
      <c r="B223" s="13">
        <v>2018</v>
      </c>
      <c r="C223" s="4" t="s">
        <v>467</v>
      </c>
      <c r="D223" s="15">
        <f>IF('Dados brutos atualizados'!E350="","",'Dados brutos atualizados'!E350)</f>
        <v>1389540618.78</v>
      </c>
      <c r="E223" s="15">
        <f>IF(D223="","",D223*'Dados brutos atualizados'!G350)</f>
        <v>1389540618.78</v>
      </c>
      <c r="F223" s="17">
        <f>IF(E223="","",Deflatores!E6)</f>
        <v>1.4526164226546885</v>
      </c>
      <c r="G223" s="15">
        <f t="shared" si="11"/>
        <v>2018469522.7855859</v>
      </c>
      <c r="H223" s="15">
        <f>IF('Dados tratados'!E217="","",'Dados tratados'!E217)</f>
        <v>2643247</v>
      </c>
      <c r="I223" s="15">
        <f t="shared" si="12"/>
        <v>763.63257871306985</v>
      </c>
      <c r="J223" s="14"/>
      <c r="K223" s="14" t="s">
        <v>417</v>
      </c>
      <c r="L223" s="14" t="s">
        <v>135</v>
      </c>
      <c r="M223" s="18" t="s">
        <v>481</v>
      </c>
      <c r="N223" s="14" t="s">
        <v>466</v>
      </c>
    </row>
    <row r="224" spans="1:14" ht="24">
      <c r="A224" s="4" t="s">
        <v>117</v>
      </c>
      <c r="B224" s="13">
        <v>2019</v>
      </c>
      <c r="C224" s="4" t="s">
        <v>416</v>
      </c>
      <c r="D224" s="15">
        <f>IF('Dados brutos atualizados'!E351="","",'Dados brutos atualizados'!E351)</f>
        <v>1982394204.8599999</v>
      </c>
      <c r="E224" s="15">
        <f>IF(D224="","",D224*'Dados brutos atualizados'!G351)</f>
        <v>1982394204.8599999</v>
      </c>
      <c r="F224" s="17">
        <f>IF(E224="","",Deflatores!E7)</f>
        <v>1.4003419893049238</v>
      </c>
      <c r="G224" s="15">
        <f t="shared" si="11"/>
        <v>2776029844.4202051</v>
      </c>
      <c r="H224" s="15">
        <f>IF('Dados tratados'!E239="","",'Dados tratados'!E239)</f>
        <v>2669342</v>
      </c>
      <c r="I224" s="15">
        <f t="shared" si="12"/>
        <v>1039.967843918166</v>
      </c>
      <c r="J224" s="14"/>
      <c r="K224" s="14" t="s">
        <v>417</v>
      </c>
      <c r="L224" s="14" t="s">
        <v>135</v>
      </c>
      <c r="M224" s="18" t="s">
        <v>488</v>
      </c>
      <c r="N224" s="14" t="s">
        <v>420</v>
      </c>
    </row>
    <row r="225" spans="1:14" ht="15.75">
      <c r="A225" s="4" t="s">
        <v>117</v>
      </c>
      <c r="B225" s="13">
        <v>2019</v>
      </c>
      <c r="C225" s="4" t="s">
        <v>422</v>
      </c>
      <c r="D225" s="15">
        <f>IF('Dados brutos atualizados'!E352="","",'Dados brutos atualizados'!E352)</f>
        <v>42.31</v>
      </c>
      <c r="E225" s="15">
        <f>IF(D225="","",D225*'Dados brutos atualizados'!G352)</f>
        <v>42.31</v>
      </c>
      <c r="F225" s="4"/>
      <c r="G225" s="14"/>
      <c r="H225" s="14"/>
      <c r="I225" s="14"/>
      <c r="J225" s="15">
        <f>IF(D225="","",D225)</f>
        <v>42.31</v>
      </c>
      <c r="K225" s="14" t="s">
        <v>423</v>
      </c>
      <c r="L225" s="14" t="s">
        <v>135</v>
      </c>
      <c r="M225" s="18" t="s">
        <v>489</v>
      </c>
      <c r="N225" s="14" t="s">
        <v>426</v>
      </c>
    </row>
    <row r="226" spans="1:14" ht="24">
      <c r="A226" s="4" t="s">
        <v>117</v>
      </c>
      <c r="B226" s="13">
        <v>2019</v>
      </c>
      <c r="C226" s="4" t="s">
        <v>428</v>
      </c>
      <c r="D226" s="15">
        <f>IF('Dados brutos atualizados'!E353="","",'Dados brutos atualizados'!E353)</f>
        <v>445747434.22000003</v>
      </c>
      <c r="E226" s="15">
        <f>IF(D226="","",D226*'Dados brutos atualizados'!G353)</f>
        <v>445747434.22000003</v>
      </c>
      <c r="F226" s="17">
        <f>IF(E226="","",Deflatores!E7)</f>
        <v>1.4003419893049238</v>
      </c>
      <c r="G226" s="15">
        <f>IF(OR(E226="",F226=""),"",E226*F226)</f>
        <v>624198848.76320052</v>
      </c>
      <c r="H226" s="14"/>
      <c r="I226" s="14"/>
      <c r="J226" s="14"/>
      <c r="K226" s="14" t="s">
        <v>417</v>
      </c>
      <c r="L226" s="14" t="s">
        <v>431</v>
      </c>
      <c r="M226" s="18" t="s">
        <v>488</v>
      </c>
      <c r="N226" s="14" t="s">
        <v>432</v>
      </c>
    </row>
    <row r="227" spans="1:14" ht="15.75">
      <c r="A227" s="4" t="s">
        <v>117</v>
      </c>
      <c r="B227" s="13">
        <v>2019</v>
      </c>
      <c r="C227" s="4" t="s">
        <v>433</v>
      </c>
      <c r="D227" s="15">
        <f>IF('Dados brutos atualizados'!E354="","",'Dados brutos atualizados'!E354)</f>
        <v>8207466751.46</v>
      </c>
      <c r="E227" s="15">
        <f>IF(D227="","",D227*'Dados brutos atualizados'!G354)</f>
        <v>8207466751.46</v>
      </c>
      <c r="F227" s="17">
        <f>IF(E227="","",Deflatores!E7)</f>
        <v>1.4003419893049238</v>
      </c>
      <c r="G227" s="15">
        <f>IF(OR(E227="",F227=""),"",E227*F227)</f>
        <v>11493260317.893517</v>
      </c>
      <c r="H227" s="15">
        <f>IF('Dados tratados'!E239="","",'Dados tratados'!E239)</f>
        <v>2669342</v>
      </c>
      <c r="I227" s="15">
        <f>IF(OR(G227="",H227="",H227=0),"",G227/H227)</f>
        <v>4305.6529728650421</v>
      </c>
      <c r="J227" s="14"/>
      <c r="K227" s="14" t="s">
        <v>417</v>
      </c>
      <c r="L227" s="14" t="s">
        <v>135</v>
      </c>
      <c r="M227" s="18" t="s">
        <v>490</v>
      </c>
      <c r="N227" s="14" t="s">
        <v>436</v>
      </c>
    </row>
    <row r="228" spans="1:14" ht="15.75">
      <c r="A228" s="4" t="s">
        <v>117</v>
      </c>
      <c r="B228" s="13">
        <v>2019</v>
      </c>
      <c r="C228" s="4" t="s">
        <v>438</v>
      </c>
      <c r="D228" s="15">
        <f>IF('Dados brutos atualizados'!E355="","",'Dados brutos atualizados'!E355)</f>
        <v>7833173395.6899996</v>
      </c>
      <c r="E228" s="15">
        <f>IF(D228="","",D228*'Dados brutos atualizados'!G355)</f>
        <v>7833173395.6899996</v>
      </c>
      <c r="F228" s="17">
        <f>IF(E228="","",Deflatores!E7)</f>
        <v>1.4003419893049238</v>
      </c>
      <c r="G228" s="15">
        <f>IF(OR(E228="",F228=""),"",E228*F228)</f>
        <v>10969121615.49094</v>
      </c>
      <c r="H228" s="15">
        <f>IF('Dados tratados'!E239="","",'Dados tratados'!E239)</f>
        <v>2669342</v>
      </c>
      <c r="I228" s="15">
        <f>IF(OR(G228="",H228="",H228=0),"",G228/H228)</f>
        <v>4109.2979526381187</v>
      </c>
      <c r="J228" s="14"/>
      <c r="K228" s="14" t="s">
        <v>417</v>
      </c>
      <c r="L228" s="14" t="s">
        <v>135</v>
      </c>
      <c r="M228" s="18" t="s">
        <v>490</v>
      </c>
      <c r="N228" s="14" t="s">
        <v>436</v>
      </c>
    </row>
    <row r="229" spans="1:14" ht="15.75">
      <c r="A229" s="4" t="s">
        <v>117</v>
      </c>
      <c r="B229" s="13">
        <v>2019</v>
      </c>
      <c r="C229" s="4" t="s">
        <v>440</v>
      </c>
      <c r="D229" s="15">
        <f>IF('Dados brutos atualizados'!E356="","",'Dados brutos atualizados'!E356)</f>
        <v>7770736477.71</v>
      </c>
      <c r="E229" s="15">
        <f>IF(D229="","",D229*'Dados brutos atualizados'!G356)</f>
        <v>7770736477.71</v>
      </c>
      <c r="F229" s="17">
        <f>IF(E229="","",Deflatores!E7)</f>
        <v>1.4003419893049238</v>
      </c>
      <c r="G229" s="15">
        <f>IF(OR(E229="",F229=""),"",E229*F229)</f>
        <v>10881688577.560759</v>
      </c>
      <c r="H229" s="15">
        <f>IF('Dados tratados'!E239="","",'Dados tratados'!E239)</f>
        <v>2669342</v>
      </c>
      <c r="I229" s="15">
        <f>IF(OR(G229="",H229="",H229=0),"",G229/H229)</f>
        <v>4076.5434243947602</v>
      </c>
      <c r="J229" s="14"/>
      <c r="K229" s="14" t="s">
        <v>417</v>
      </c>
      <c r="L229" s="14" t="s">
        <v>135</v>
      </c>
      <c r="M229" s="18" t="s">
        <v>490</v>
      </c>
      <c r="N229" s="14" t="s">
        <v>436</v>
      </c>
    </row>
    <row r="230" spans="1:14" ht="15.75">
      <c r="A230" s="4" t="s">
        <v>117</v>
      </c>
      <c r="B230" s="13">
        <v>2019</v>
      </c>
      <c r="C230" s="4" t="s">
        <v>442</v>
      </c>
      <c r="D230" s="15">
        <f>IF('Dados brutos atualizados'!E357="","",'Dados brutos atualizados'!E357)</f>
        <v>2913235567.52</v>
      </c>
      <c r="E230" s="15">
        <f>IF(D230="","",D230*'Dados brutos atualizados'!G357)</f>
        <v>2913235567.52</v>
      </c>
      <c r="F230" s="17">
        <f>IF(E230="","",Deflatores!E7)</f>
        <v>1.4003419893049238</v>
      </c>
      <c r="G230" s="15">
        <f>IF(OR(E230="",F230=""),"",E230*F230)</f>
        <v>4079526089.9348154</v>
      </c>
      <c r="H230" s="15">
        <f>IF('Dados tratados'!E239="","",'Dados tratados'!E239)</f>
        <v>2669342</v>
      </c>
      <c r="I230" s="15">
        <f>IF(OR(G230="",H230="",H230=0),"",G230/H230)</f>
        <v>1528.289027758457</v>
      </c>
      <c r="J230" s="14"/>
      <c r="K230" s="14" t="s">
        <v>417</v>
      </c>
      <c r="L230" s="14" t="s">
        <v>135</v>
      </c>
      <c r="M230" s="18" t="s">
        <v>489</v>
      </c>
      <c r="N230" s="14" t="s">
        <v>444</v>
      </c>
    </row>
    <row r="231" spans="1:14" ht="15.75">
      <c r="A231" s="4" t="s">
        <v>117</v>
      </c>
      <c r="B231" s="13">
        <v>2019</v>
      </c>
      <c r="C231" s="4" t="s">
        <v>374</v>
      </c>
      <c r="D231" s="15">
        <f>IF('Dados brutos atualizados'!E358="","",'Dados brutos atualizados'!E358)</f>
        <v>5.3654999999999999</v>
      </c>
      <c r="E231" s="15">
        <f>IF(D231="","",D231*'Dados brutos atualizados'!G358)</f>
        <v>5.3654999999999999</v>
      </c>
      <c r="F231" s="4"/>
      <c r="G231" s="14"/>
      <c r="H231" s="14"/>
      <c r="I231" s="14"/>
      <c r="J231" s="15">
        <f t="shared" ref="J231:J236" si="13">IF(D231="","",D231)</f>
        <v>5.3654999999999999</v>
      </c>
      <c r="K231" s="14" t="s">
        <v>375</v>
      </c>
      <c r="L231" s="14" t="s">
        <v>378</v>
      </c>
      <c r="M231" s="18" t="s">
        <v>380</v>
      </c>
      <c r="N231" s="14" t="s">
        <v>379</v>
      </c>
    </row>
    <row r="232" spans="1:14" ht="15.75">
      <c r="A232" s="4" t="s">
        <v>117</v>
      </c>
      <c r="B232" s="13">
        <v>2019</v>
      </c>
      <c r="C232" s="4" t="s">
        <v>381</v>
      </c>
      <c r="D232" s="15">
        <f>IF('Dados brutos atualizados'!E359="","",'Dados brutos atualizados'!E359)</f>
        <v>6.2376250000000004</v>
      </c>
      <c r="E232" s="15">
        <f>IF(D232="","",D232*'Dados brutos atualizados'!G359)</f>
        <v>6.2376250000000004</v>
      </c>
      <c r="F232" s="4"/>
      <c r="G232" s="14"/>
      <c r="H232" s="14"/>
      <c r="I232" s="14"/>
      <c r="J232" s="15">
        <f t="shared" si="13"/>
        <v>6.2376250000000004</v>
      </c>
      <c r="K232" s="14" t="s">
        <v>375</v>
      </c>
      <c r="L232" s="14" t="s">
        <v>378</v>
      </c>
      <c r="M232" s="18" t="s">
        <v>382</v>
      </c>
      <c r="N232" s="14" t="s">
        <v>379</v>
      </c>
    </row>
    <row r="233" spans="1:14" ht="15.75">
      <c r="A233" s="4" t="s">
        <v>117</v>
      </c>
      <c r="B233" s="13">
        <v>2019</v>
      </c>
      <c r="C233" s="4" t="s">
        <v>383</v>
      </c>
      <c r="D233" s="15">
        <f>IF('Dados brutos atualizados'!E360="","",'Dados brutos atualizados'!E360)</f>
        <v>0.97031199999999995</v>
      </c>
      <c r="E233" s="15">
        <f>IF(D233="","",D233*'Dados brutos atualizados'!G360)</f>
        <v>0.97031199999999995</v>
      </c>
      <c r="F233" s="4"/>
      <c r="G233" s="14"/>
      <c r="H233" s="14"/>
      <c r="I233" s="14"/>
      <c r="J233" s="15">
        <f t="shared" si="13"/>
        <v>0.97031199999999995</v>
      </c>
      <c r="K233" s="14" t="s">
        <v>384</v>
      </c>
      <c r="L233" s="14" t="s">
        <v>378</v>
      </c>
      <c r="M233" s="18" t="s">
        <v>380</v>
      </c>
      <c r="N233" s="14" t="s">
        <v>379</v>
      </c>
    </row>
    <row r="234" spans="1:14" ht="15.75">
      <c r="A234" s="4" t="s">
        <v>117</v>
      </c>
      <c r="B234" s="13">
        <v>2019</v>
      </c>
      <c r="C234" s="4" t="s">
        <v>386</v>
      </c>
      <c r="D234" s="15">
        <f>IF('Dados brutos atualizados'!E361="","",'Dados brutos atualizados'!E361)</f>
        <v>0.99173599999999995</v>
      </c>
      <c r="E234" s="15">
        <f>IF(D234="","",D234*'Dados brutos atualizados'!G361)</f>
        <v>0.99173599999999995</v>
      </c>
      <c r="F234" s="4"/>
      <c r="G234" s="14"/>
      <c r="H234" s="14"/>
      <c r="I234" s="14"/>
      <c r="J234" s="15">
        <f t="shared" si="13"/>
        <v>0.99173599999999995</v>
      </c>
      <c r="K234" s="14" t="s">
        <v>384</v>
      </c>
      <c r="L234" s="14" t="s">
        <v>378</v>
      </c>
      <c r="M234" s="18" t="s">
        <v>382</v>
      </c>
      <c r="N234" s="14" t="s">
        <v>379</v>
      </c>
    </row>
    <row r="235" spans="1:14" ht="24">
      <c r="A235" s="4" t="s">
        <v>117</v>
      </c>
      <c r="B235" s="13">
        <v>2019</v>
      </c>
      <c r="C235" s="4" t="s">
        <v>587</v>
      </c>
      <c r="D235" s="15">
        <f>IF(OR('Dados brutos atualizados'!E360="",'Dados brutos atualizados'!E358=""),"",'Dados brutos atualizados'!E360*'Dados brutos atualizados'!E358)</f>
        <v>5.2062090359999997</v>
      </c>
      <c r="E235" s="15">
        <f>IF(D235="","",D235)</f>
        <v>5.2062090359999997</v>
      </c>
      <c r="F235" s="4"/>
      <c r="G235" s="14"/>
      <c r="H235" s="14"/>
      <c r="I235" s="14"/>
      <c r="J235" s="15">
        <f t="shared" si="13"/>
        <v>5.2062090359999997</v>
      </c>
      <c r="K235" s="14" t="s">
        <v>588</v>
      </c>
      <c r="L235" s="14" t="s">
        <v>589</v>
      </c>
      <c r="M235" s="18" t="s">
        <v>380</v>
      </c>
      <c r="N235" s="14" t="s">
        <v>590</v>
      </c>
    </row>
    <row r="236" spans="1:14" ht="24">
      <c r="A236" s="4" t="s">
        <v>117</v>
      </c>
      <c r="B236" s="13">
        <v>2019</v>
      </c>
      <c r="C236" s="4" t="s">
        <v>591</v>
      </c>
      <c r="D236" s="15">
        <f>IF(OR('Dados brutos atualizados'!E361="",'Dados brutos atualizados'!E359=""),"",'Dados brutos atualizados'!E361*'Dados brutos atualizados'!E359)</f>
        <v>6.1860772669999999</v>
      </c>
      <c r="E236" s="15">
        <f>IF(D236="","",D236)</f>
        <v>6.1860772669999999</v>
      </c>
      <c r="F236" s="4"/>
      <c r="G236" s="14"/>
      <c r="H236" s="14"/>
      <c r="I236" s="14"/>
      <c r="J236" s="15">
        <f t="shared" si="13"/>
        <v>6.1860772669999999</v>
      </c>
      <c r="K236" s="14" t="s">
        <v>588</v>
      </c>
      <c r="L236" s="14" t="s">
        <v>589</v>
      </c>
      <c r="M236" s="18" t="s">
        <v>382</v>
      </c>
      <c r="N236" s="14" t="s">
        <v>590</v>
      </c>
    </row>
    <row r="237" spans="1:14" ht="24">
      <c r="A237" s="4" t="s">
        <v>117</v>
      </c>
      <c r="B237" s="13">
        <v>2019</v>
      </c>
      <c r="C237" s="4" t="s">
        <v>394</v>
      </c>
      <c r="D237" s="15">
        <f>IF('Dados brutos atualizados'!E362="","",'Dados brutos atualizados'!E362)</f>
        <v>67401429.902999997</v>
      </c>
      <c r="E237" s="15">
        <f>IF(D237="","",D237*'Dados brutos atualizados'!G362)</f>
        <v>67401429903</v>
      </c>
      <c r="F237" s="17">
        <f>IF(E237="","",Deflatores!E7)</f>
        <v>1.4003419893049238</v>
      </c>
      <c r="G237" s="15">
        <f>IF(OR(E237="",F237=""),"",E237*F237)</f>
        <v>94385052432.363403</v>
      </c>
      <c r="H237" s="15">
        <f>IF('Dados tratados'!E239="","",'Dados tratados'!E239)</f>
        <v>2669342</v>
      </c>
      <c r="I237" s="15">
        <f>IF(OR(G237="",H237="",H237=0),"",G237/H237)</f>
        <v>35358.920824818779</v>
      </c>
      <c r="J237" s="14"/>
      <c r="K237" s="14" t="s">
        <v>395</v>
      </c>
      <c r="L237" s="14" t="s">
        <v>135</v>
      </c>
      <c r="M237" s="18" t="s">
        <v>399</v>
      </c>
      <c r="N237" s="14" t="s">
        <v>398</v>
      </c>
    </row>
    <row r="238" spans="1:14" ht="24">
      <c r="A238" s="4" t="s">
        <v>117</v>
      </c>
      <c r="B238" s="13">
        <v>2019</v>
      </c>
      <c r="C238" s="4" t="s">
        <v>400</v>
      </c>
      <c r="D238" s="15">
        <f>IF('Dados brutos atualizados'!E363="","",'Dados brutos atualizados'!E363)</f>
        <v>25250.2</v>
      </c>
      <c r="E238" s="15">
        <f>IF(D238="","",D238*'Dados brutos atualizados'!G363)</f>
        <v>25250.2</v>
      </c>
      <c r="F238" s="17">
        <f>IF(E238="","",Deflatores!E7)</f>
        <v>1.4003419893049238</v>
      </c>
      <c r="G238" s="15">
        <f>IF(OR(E238="",F238=""),"",E238*F238)</f>
        <v>35358.915298347187</v>
      </c>
      <c r="H238" s="14"/>
      <c r="I238" s="14"/>
      <c r="J238" s="14"/>
      <c r="K238" s="14" t="s">
        <v>401</v>
      </c>
      <c r="L238" s="14" t="s">
        <v>135</v>
      </c>
      <c r="M238" s="18" t="s">
        <v>399</v>
      </c>
      <c r="N238" s="14" t="s">
        <v>404</v>
      </c>
    </row>
    <row r="239" spans="1:14" ht="15.75">
      <c r="A239" s="4" t="s">
        <v>117</v>
      </c>
      <c r="B239" s="13">
        <v>2019</v>
      </c>
      <c r="C239" s="4" t="s">
        <v>445</v>
      </c>
      <c r="D239" s="15">
        <f>IF('Dados brutos atualizados'!E364="","",'Dados brutos atualizados'!E364)</f>
        <v>2669342</v>
      </c>
      <c r="E239" s="15">
        <f>IF(D239="","",D239*'Dados brutos atualizados'!G364)</f>
        <v>2669342</v>
      </c>
      <c r="F239" s="4"/>
      <c r="G239" s="14"/>
      <c r="H239" s="14"/>
      <c r="I239" s="14"/>
      <c r="J239" s="15">
        <f>IF(D239="","",D239)</f>
        <v>2669342</v>
      </c>
      <c r="K239" s="14" t="s">
        <v>446</v>
      </c>
      <c r="L239" s="14" t="s">
        <v>449</v>
      </c>
      <c r="M239" s="18" t="s">
        <v>451</v>
      </c>
      <c r="N239" s="14" t="s">
        <v>450</v>
      </c>
    </row>
    <row r="240" spans="1:14" ht="15.75">
      <c r="A240" s="4" t="s">
        <v>117</v>
      </c>
      <c r="B240" s="13">
        <v>2019</v>
      </c>
      <c r="C240" s="4" t="s">
        <v>452</v>
      </c>
      <c r="D240" s="15">
        <f>IF('Dados brutos atualizados'!E365="","",'Dados brutos atualizados'!E365)</f>
        <v>6904910379.2200003</v>
      </c>
      <c r="E240" s="15">
        <f>IF(D240="","",D240*'Dados brutos atualizados'!G365)</f>
        <v>6904910379.2200003</v>
      </c>
      <c r="F240" s="17">
        <f>IF(E240="","",Deflatores!E7)</f>
        <v>1.4003419893049238</v>
      </c>
      <c r="G240" s="15">
        <f t="shared" ref="G240:G246" si="14">IF(OR(E240="",F240=""),"",E240*F240)</f>
        <v>9669235936.4091511</v>
      </c>
      <c r="H240" s="15">
        <f>IF('Dados tratados'!E239="","",'Dados tratados'!E239)</f>
        <v>2669342</v>
      </c>
      <c r="I240" s="15">
        <f t="shared" ref="I240:I246" si="15">IF(OR(G240="",H240="",H240=0),"",G240/H240)</f>
        <v>3622.3293742087567</v>
      </c>
      <c r="J240" s="14"/>
      <c r="K240" s="14" t="s">
        <v>417</v>
      </c>
      <c r="L240" s="14" t="s">
        <v>135</v>
      </c>
      <c r="M240" s="18" t="s">
        <v>489</v>
      </c>
      <c r="N240" s="14" t="s">
        <v>455</v>
      </c>
    </row>
    <row r="241" spans="1:14" ht="15.75">
      <c r="A241" s="4" t="s">
        <v>117</v>
      </c>
      <c r="B241" s="13">
        <v>2019</v>
      </c>
      <c r="C241" s="4" t="s">
        <v>456</v>
      </c>
      <c r="D241" s="15">
        <f>IF('Dados brutos atualizados'!E366="","",'Dados brutos atualizados'!E366)</f>
        <v>6886260792.2200003</v>
      </c>
      <c r="E241" s="15">
        <f>IF(D241="","",D241*'Dados brutos atualizados'!G366)</f>
        <v>6886260792.2200003</v>
      </c>
      <c r="F241" s="17">
        <f>IF(E241="","",Deflatores!E7)</f>
        <v>1.4003419893049238</v>
      </c>
      <c r="G241" s="15">
        <f t="shared" si="14"/>
        <v>9643120136.6498566</v>
      </c>
      <c r="H241" s="15">
        <f>IF('Dados tratados'!E239="","",'Dados tratados'!E239)</f>
        <v>2669342</v>
      </c>
      <c r="I241" s="15">
        <f t="shared" si="15"/>
        <v>3612.5457647052558</v>
      </c>
      <c r="J241" s="14"/>
      <c r="K241" s="14" t="s">
        <v>417</v>
      </c>
      <c r="L241" s="14" t="s">
        <v>135</v>
      </c>
      <c r="M241" s="18" t="s">
        <v>489</v>
      </c>
      <c r="N241" s="14" t="s">
        <v>459</v>
      </c>
    </row>
    <row r="242" spans="1:14" ht="15.75">
      <c r="A242" s="4" t="s">
        <v>117</v>
      </c>
      <c r="B242" s="13">
        <v>2019</v>
      </c>
      <c r="C242" s="4" t="s">
        <v>460</v>
      </c>
      <c r="D242" s="15">
        <f>IF('Dados brutos atualizados'!E367="","",'Dados brutos atualizados'!E367)</f>
        <v>8558992046.2299995</v>
      </c>
      <c r="E242" s="15">
        <f>IF(D242="","",D242*'Dados brutos atualizados'!G367)</f>
        <v>8558992046.2299995</v>
      </c>
      <c r="F242" s="17">
        <f>IF(E242="","",Deflatores!E7)</f>
        <v>1.4003419893049238</v>
      </c>
      <c r="G242" s="15">
        <f t="shared" si="14"/>
        <v>11985515948.462738</v>
      </c>
      <c r="H242" s="15">
        <f>IF('Dados tratados'!E239="","",'Dados tratados'!E239)</f>
        <v>2669342</v>
      </c>
      <c r="I242" s="15">
        <f t="shared" si="15"/>
        <v>4490.0638241419565</v>
      </c>
      <c r="J242" s="14"/>
      <c r="K242" s="14" t="s">
        <v>417</v>
      </c>
      <c r="L242" s="14" t="s">
        <v>135</v>
      </c>
      <c r="M242" s="18" t="s">
        <v>488</v>
      </c>
      <c r="N242" s="14" t="s">
        <v>462</v>
      </c>
    </row>
    <row r="243" spans="1:14" ht="24">
      <c r="A243" s="4" t="s">
        <v>117</v>
      </c>
      <c r="B243" s="13">
        <v>2019</v>
      </c>
      <c r="C243" s="4" t="s">
        <v>592</v>
      </c>
      <c r="D243" s="15">
        <f>IF(OR('Dados tratados'!E242="",'Dados tratados'!E226=""),"",'Dados tratados'!E242-'Dados tratados'!E226)</f>
        <v>8113244612.0099993</v>
      </c>
      <c r="E243" s="15">
        <f>IF(D243="","",D243)</f>
        <v>8113244612.0099993</v>
      </c>
      <c r="F243" s="17">
        <f>IF(E243="","",Deflatores!E7)</f>
        <v>1.4003419893049238</v>
      </c>
      <c r="G243" s="15">
        <f t="shared" si="14"/>
        <v>11361317099.699537</v>
      </c>
      <c r="H243" s="15">
        <f>IF('Dados tratados'!E239="","",'Dados tratados'!E239)</f>
        <v>2669342</v>
      </c>
      <c r="I243" s="15">
        <f t="shared" si="15"/>
        <v>4256.2238558039908</v>
      </c>
      <c r="J243" s="14"/>
      <c r="K243" s="14" t="s">
        <v>417</v>
      </c>
      <c r="L243" s="14" t="s">
        <v>593</v>
      </c>
      <c r="M243" s="18" t="s">
        <v>594</v>
      </c>
      <c r="N243" s="14" t="s">
        <v>595</v>
      </c>
    </row>
    <row r="244" spans="1:14" ht="36">
      <c r="A244" s="4" t="s">
        <v>117</v>
      </c>
      <c r="B244" s="13">
        <v>2019</v>
      </c>
      <c r="C244" s="4" t="s">
        <v>463</v>
      </c>
      <c r="D244" s="15">
        <f>IF('Dados brutos atualizados'!E368="","",'Dados brutos atualizados'!E368)</f>
        <v>2313452603.0700002</v>
      </c>
      <c r="E244" s="15">
        <f>IF(D244="","",D244*'Dados brutos atualizados'!G368)</f>
        <v>2313452603.0700002</v>
      </c>
      <c r="F244" s="17">
        <f>IF(E244="","",Deflatores!E7)</f>
        <v>1.4003419893049238</v>
      </c>
      <c r="G244" s="15">
        <f t="shared" si="14"/>
        <v>3239624820.3456984</v>
      </c>
      <c r="H244" s="15">
        <f>IF('Dados tratados'!E239="","",'Dados tratados'!E239)</f>
        <v>2669342</v>
      </c>
      <c r="I244" s="15">
        <f t="shared" si="15"/>
        <v>1213.6417215724694</v>
      </c>
      <c r="J244" s="14"/>
      <c r="K244" s="14" t="s">
        <v>417</v>
      </c>
      <c r="L244" s="14" t="s">
        <v>135</v>
      </c>
      <c r="M244" s="18" t="s">
        <v>488</v>
      </c>
      <c r="N244" s="14" t="s">
        <v>466</v>
      </c>
    </row>
    <row r="245" spans="1:14" ht="36">
      <c r="A245" s="4" t="s">
        <v>117</v>
      </c>
      <c r="B245" s="13">
        <v>2019</v>
      </c>
      <c r="C245" s="4" t="s">
        <v>467</v>
      </c>
      <c r="D245" s="15">
        <f>IF('Dados brutos atualizados'!E369="","",'Dados brutos atualizados'!E369)</f>
        <v>1444476773.8399999</v>
      </c>
      <c r="E245" s="15">
        <f>IF(D245="","",D245*'Dados brutos atualizados'!G369)</f>
        <v>1444476773.8399999</v>
      </c>
      <c r="F245" s="17">
        <f>IF(E245="","",Deflatores!E7)</f>
        <v>1.4003419893049238</v>
      </c>
      <c r="G245" s="15">
        <f t="shared" si="14"/>
        <v>2022761478.9838641</v>
      </c>
      <c r="H245" s="15">
        <f>IF('Dados tratados'!E239="","",'Dados tratados'!E239)</f>
        <v>2669342</v>
      </c>
      <c r="I245" s="15">
        <f t="shared" si="15"/>
        <v>757.7753165326377</v>
      </c>
      <c r="J245" s="14"/>
      <c r="K245" s="14" t="s">
        <v>417</v>
      </c>
      <c r="L245" s="14" t="s">
        <v>135</v>
      </c>
      <c r="M245" s="18" t="s">
        <v>488</v>
      </c>
      <c r="N245" s="14" t="s">
        <v>466</v>
      </c>
    </row>
    <row r="246" spans="1:14" ht="24">
      <c r="A246" s="4" t="s">
        <v>117</v>
      </c>
      <c r="B246" s="13">
        <v>2020</v>
      </c>
      <c r="C246" s="4" t="s">
        <v>416</v>
      </c>
      <c r="D246" s="15">
        <f>IF('Dados brutos atualizados'!E370="","",'Dados brutos atualizados'!E370)</f>
        <v>1941207316.1700001</v>
      </c>
      <c r="E246" s="15">
        <f>IF(D246="","",D246*'Dados brutos atualizados'!G370)</f>
        <v>1941207316.1700001</v>
      </c>
      <c r="F246" s="17">
        <f>IF(E246="","",Deflatores!E8)</f>
        <v>1.3567658183986284</v>
      </c>
      <c r="G246" s="15">
        <f t="shared" si="14"/>
        <v>2633763733.0047951</v>
      </c>
      <c r="H246" s="15">
        <f>IF('Dados tratados'!E255="","",'Dados tratados'!E255)</f>
        <v>2686612</v>
      </c>
      <c r="I246" s="15">
        <f t="shared" si="15"/>
        <v>980.3290289051024</v>
      </c>
      <c r="J246" s="14"/>
      <c r="K246" s="14" t="s">
        <v>417</v>
      </c>
      <c r="L246" s="14" t="s">
        <v>135</v>
      </c>
      <c r="M246" s="18" t="s">
        <v>494</v>
      </c>
      <c r="N246" s="14" t="s">
        <v>420</v>
      </c>
    </row>
    <row r="247" spans="1:14" ht="15.75">
      <c r="A247" s="4" t="s">
        <v>117</v>
      </c>
      <c r="B247" s="13">
        <v>2020</v>
      </c>
      <c r="C247" s="4" t="s">
        <v>422</v>
      </c>
      <c r="D247" s="15">
        <f>IF('Dados brutos atualizados'!E371="","",'Dados brutos atualizados'!E371)</f>
        <v>46.03</v>
      </c>
      <c r="E247" s="15">
        <f>IF(D247="","",D247*'Dados brutos atualizados'!G371)</f>
        <v>46.03</v>
      </c>
      <c r="F247" s="4"/>
      <c r="G247" s="14"/>
      <c r="H247" s="14"/>
      <c r="I247" s="14"/>
      <c r="J247" s="15">
        <f>IF(D247="","",D247)</f>
        <v>46.03</v>
      </c>
      <c r="K247" s="14" t="s">
        <v>423</v>
      </c>
      <c r="L247" s="14" t="s">
        <v>135</v>
      </c>
      <c r="M247" s="18" t="s">
        <v>496</v>
      </c>
      <c r="N247" s="14" t="s">
        <v>426</v>
      </c>
    </row>
    <row r="248" spans="1:14" ht="24">
      <c r="A248" s="4" t="s">
        <v>117</v>
      </c>
      <c r="B248" s="13">
        <v>2020</v>
      </c>
      <c r="C248" s="4" t="s">
        <v>428</v>
      </c>
      <c r="D248" s="15">
        <f>IF('Dados brutos atualizados'!E372="","",'Dados brutos atualizados'!E372)</f>
        <v>439247886.25999999</v>
      </c>
      <c r="E248" s="15">
        <f>IF(D248="","",D248*'Dados brutos atualizados'!G372)</f>
        <v>439247886.25999999</v>
      </c>
      <c r="F248" s="17">
        <f>IF(E248="","",Deflatores!E8)</f>
        <v>1.3567658183986284</v>
      </c>
      <c r="G248" s="15">
        <f t="shared" ref="G248:G254" si="16">IF(OR(E248="",F248=""),"",E248*F248)</f>
        <v>595956517.88141656</v>
      </c>
      <c r="H248" s="14"/>
      <c r="I248" s="14"/>
      <c r="J248" s="14"/>
      <c r="K248" s="14" t="s">
        <v>417</v>
      </c>
      <c r="L248" s="14" t="s">
        <v>431</v>
      </c>
      <c r="M248" s="18" t="s">
        <v>494</v>
      </c>
      <c r="N248" s="14" t="s">
        <v>432</v>
      </c>
    </row>
    <row r="249" spans="1:14" ht="15.75">
      <c r="A249" s="4" t="s">
        <v>117</v>
      </c>
      <c r="B249" s="13">
        <v>2020</v>
      </c>
      <c r="C249" s="4" t="s">
        <v>433</v>
      </c>
      <c r="D249" s="15">
        <f>IF('Dados brutos atualizados'!E373="","",'Dados brutos atualizados'!E373)</f>
        <v>9034193166.7600002</v>
      </c>
      <c r="E249" s="15">
        <f>IF(D249="","",D249*'Dados brutos atualizados'!G373)</f>
        <v>9034193166.7600002</v>
      </c>
      <c r="F249" s="17">
        <f>IF(E249="","",Deflatores!E8)</f>
        <v>1.3567658183986284</v>
      </c>
      <c r="G249" s="15">
        <f t="shared" si="16"/>
        <v>12257284485.470428</v>
      </c>
      <c r="H249" s="15">
        <f>IF('Dados tratados'!E255="","",'Dados tratados'!E255)</f>
        <v>2686612</v>
      </c>
      <c r="I249" s="15">
        <f>IF(OR(G249="",H249="",H249=0),"",G249/H249)</f>
        <v>4562.3575289138989</v>
      </c>
      <c r="J249" s="14"/>
      <c r="K249" s="14" t="s">
        <v>417</v>
      </c>
      <c r="L249" s="14" t="s">
        <v>135</v>
      </c>
      <c r="M249" s="18" t="s">
        <v>497</v>
      </c>
      <c r="N249" s="14" t="s">
        <v>436</v>
      </c>
    </row>
    <row r="250" spans="1:14" ht="15.75">
      <c r="A250" s="4" t="s">
        <v>117</v>
      </c>
      <c r="B250" s="13">
        <v>2020</v>
      </c>
      <c r="C250" s="4" t="s">
        <v>438</v>
      </c>
      <c r="D250" s="15">
        <f>IF('Dados brutos atualizados'!E374="","",'Dados brutos atualizados'!E374)</f>
        <v>8648435578.1200008</v>
      </c>
      <c r="E250" s="15">
        <f>IF(D250="","",D250*'Dados brutos atualizados'!G374)</f>
        <v>8648435578.1200008</v>
      </c>
      <c r="F250" s="17">
        <f>IF(E250="","",Deflatores!E8)</f>
        <v>1.3567658183986284</v>
      </c>
      <c r="G250" s="15">
        <f t="shared" si="16"/>
        <v>11733901775.015799</v>
      </c>
      <c r="H250" s="15">
        <f>IF('Dados tratados'!E255="","",'Dados tratados'!E255)</f>
        <v>2686612</v>
      </c>
      <c r="I250" s="15">
        <f>IF(OR(G250="",H250="",H250=0),"",G250/H250)</f>
        <v>4367.5461045420025</v>
      </c>
      <c r="J250" s="14"/>
      <c r="K250" s="14" t="s">
        <v>417</v>
      </c>
      <c r="L250" s="14" t="s">
        <v>135</v>
      </c>
      <c r="M250" s="18" t="s">
        <v>497</v>
      </c>
      <c r="N250" s="14" t="s">
        <v>436</v>
      </c>
    </row>
    <row r="251" spans="1:14" ht="15.75">
      <c r="A251" s="4" t="s">
        <v>117</v>
      </c>
      <c r="B251" s="13">
        <v>2020</v>
      </c>
      <c r="C251" s="4" t="s">
        <v>440</v>
      </c>
      <c r="D251" s="15">
        <f>IF('Dados brutos atualizados'!E375="","",'Dados brutos atualizados'!E375)</f>
        <v>8619113460.1200008</v>
      </c>
      <c r="E251" s="15">
        <f>IF(D251="","",D251*'Dados brutos atualizados'!G375)</f>
        <v>8619113460.1200008</v>
      </c>
      <c r="F251" s="17">
        <f>IF(E251="","",Deflatores!E8)</f>
        <v>1.3567658183986284</v>
      </c>
      <c r="G251" s="15">
        <f t="shared" si="16"/>
        <v>11694118527.590347</v>
      </c>
      <c r="H251" s="15">
        <f>IF('Dados tratados'!E255="","",'Dados tratados'!E255)</f>
        <v>2686612</v>
      </c>
      <c r="I251" s="15">
        <f>IF(OR(G251="",H251="",H251=0),"",G251/H251)</f>
        <v>4352.7381429065108</v>
      </c>
      <c r="J251" s="14"/>
      <c r="K251" s="14" t="s">
        <v>417</v>
      </c>
      <c r="L251" s="14" t="s">
        <v>135</v>
      </c>
      <c r="M251" s="18" t="s">
        <v>497</v>
      </c>
      <c r="N251" s="14" t="s">
        <v>436</v>
      </c>
    </row>
    <row r="252" spans="1:14" ht="15.75">
      <c r="A252" s="4" t="s">
        <v>117</v>
      </c>
      <c r="B252" s="13">
        <v>2020</v>
      </c>
      <c r="C252" s="4" t="s">
        <v>442</v>
      </c>
      <c r="D252" s="15">
        <f>IF('Dados brutos atualizados'!E376="","",'Dados brutos atualizados'!E376)</f>
        <v>3271584105.46</v>
      </c>
      <c r="E252" s="15">
        <f>IF(D252="","",D252*'Dados brutos atualizados'!G376)</f>
        <v>3271584105.46</v>
      </c>
      <c r="F252" s="17">
        <f>IF(E252="","",Deflatores!E8)</f>
        <v>1.3567658183986284</v>
      </c>
      <c r="G252" s="15">
        <f t="shared" si="16"/>
        <v>4438773486.3043814</v>
      </c>
      <c r="H252" s="15">
        <f>IF('Dados tratados'!E255="","",'Dados tratados'!E255)</f>
        <v>2686612</v>
      </c>
      <c r="I252" s="15">
        <f>IF(OR(G252="",H252="",H252=0),"",G252/H252)</f>
        <v>1652.1825579221643</v>
      </c>
      <c r="J252" s="14"/>
      <c r="K252" s="14" t="s">
        <v>417</v>
      </c>
      <c r="L252" s="14" t="s">
        <v>135</v>
      </c>
      <c r="M252" s="18" t="s">
        <v>496</v>
      </c>
      <c r="N252" s="14" t="s">
        <v>444</v>
      </c>
    </row>
    <row r="253" spans="1:14" ht="24">
      <c r="A253" s="4" t="s">
        <v>117</v>
      </c>
      <c r="B253" s="13">
        <v>2020</v>
      </c>
      <c r="C253" s="4" t="s">
        <v>394</v>
      </c>
      <c r="D253" s="15">
        <f>IF('Dados brutos atualizados'!E377="","",'Dados brutos atualizados'!E377)</f>
        <v>64821581.710000001</v>
      </c>
      <c r="E253" s="15">
        <f>IF(D253="","",D253*'Dados brutos atualizados'!G377)</f>
        <v>64821581710</v>
      </c>
      <c r="F253" s="17">
        <f>IF(E253="","",Deflatores!E8)</f>
        <v>1.3567658183986284</v>
      </c>
      <c r="G253" s="15">
        <f t="shared" si="16"/>
        <v>87947706358.661713</v>
      </c>
      <c r="H253" s="15">
        <f>IF('Dados tratados'!E255="","",'Dados tratados'!E255)</f>
        <v>2686612</v>
      </c>
      <c r="I253" s="15">
        <f>IF(OR(G253="",H253="",H253=0),"",G253/H253)</f>
        <v>32735.544380305648</v>
      </c>
      <c r="J253" s="14"/>
      <c r="K253" s="14" t="s">
        <v>395</v>
      </c>
      <c r="L253" s="14" t="s">
        <v>135</v>
      </c>
      <c r="M253" s="18" t="s">
        <v>399</v>
      </c>
      <c r="N253" s="14" t="s">
        <v>398</v>
      </c>
    </row>
    <row r="254" spans="1:14" ht="24">
      <c r="A254" s="4" t="s">
        <v>117</v>
      </c>
      <c r="B254" s="13">
        <v>2020</v>
      </c>
      <c r="C254" s="4" t="s">
        <v>400</v>
      </c>
      <c r="D254" s="15">
        <f>IF('Dados brutos atualizados'!E378="","",'Dados brutos atualizados'!E378)</f>
        <v>24127.63</v>
      </c>
      <c r="E254" s="15">
        <f>IF(D254="","",D254*'Dados brutos atualizados'!G378)</f>
        <v>24127.63</v>
      </c>
      <c r="F254" s="17">
        <f>IF(E254="","",Deflatores!E8)</f>
        <v>1.3567658183986284</v>
      </c>
      <c r="G254" s="15">
        <f t="shared" si="16"/>
        <v>32735.543662969299</v>
      </c>
      <c r="H254" s="14"/>
      <c r="I254" s="14"/>
      <c r="J254" s="14"/>
      <c r="K254" s="14" t="s">
        <v>401</v>
      </c>
      <c r="L254" s="14" t="s">
        <v>135</v>
      </c>
      <c r="M254" s="18" t="s">
        <v>399</v>
      </c>
      <c r="N254" s="14" t="s">
        <v>404</v>
      </c>
    </row>
    <row r="255" spans="1:14" ht="15.75">
      <c r="A255" s="4" t="s">
        <v>117</v>
      </c>
      <c r="B255" s="13">
        <v>2020</v>
      </c>
      <c r="C255" s="4" t="s">
        <v>445</v>
      </c>
      <c r="D255" s="15">
        <f>IF('Dados brutos atualizados'!E379="","",'Dados brutos atualizados'!E379)</f>
        <v>2686612</v>
      </c>
      <c r="E255" s="15">
        <f>IF(D255="","",D255*'Dados brutos atualizados'!G379)</f>
        <v>2686612</v>
      </c>
      <c r="F255" s="4"/>
      <c r="G255" s="14"/>
      <c r="H255" s="14"/>
      <c r="I255" s="14"/>
      <c r="J255" s="15">
        <f>IF(D255="","",D255)</f>
        <v>2686612</v>
      </c>
      <c r="K255" s="14" t="s">
        <v>446</v>
      </c>
      <c r="L255" s="14" t="s">
        <v>449</v>
      </c>
      <c r="M255" s="18" t="s">
        <v>451</v>
      </c>
      <c r="N255" s="14" t="s">
        <v>450</v>
      </c>
    </row>
    <row r="256" spans="1:14" ht="15.75">
      <c r="A256" s="4" t="s">
        <v>117</v>
      </c>
      <c r="B256" s="13">
        <v>2020</v>
      </c>
      <c r="C256" s="4" t="s">
        <v>452</v>
      </c>
      <c r="D256" s="15">
        <f>IF('Dados brutos atualizados'!E380="","",'Dados brutos atualizados'!E380)</f>
        <v>7109305652</v>
      </c>
      <c r="E256" s="15">
        <f>IF(D256="","",D256*'Dados brutos atualizados'!G380)</f>
        <v>7109305652</v>
      </c>
      <c r="F256" s="17">
        <f>IF(E256="","",Deflatores!E8)</f>
        <v>1.3567658183986284</v>
      </c>
      <c r="G256" s="15">
        <f t="shared" ref="G256:G262" si="17">IF(OR(E256="",F256=""),"",E256*F256)</f>
        <v>9645662901.1817741</v>
      </c>
      <c r="H256" s="15">
        <f>IF('Dados tratados'!E255="","",'Dados tratados'!E255)</f>
        <v>2686612</v>
      </c>
      <c r="I256" s="15">
        <f t="shared" ref="I256:I262" si="18">IF(OR(G256="",H256="",H256=0),"",G256/H256)</f>
        <v>3590.2701622645077</v>
      </c>
      <c r="J256" s="14"/>
      <c r="K256" s="14" t="s">
        <v>417</v>
      </c>
      <c r="L256" s="14" t="s">
        <v>135</v>
      </c>
      <c r="M256" s="18" t="s">
        <v>496</v>
      </c>
      <c r="N256" s="14" t="s">
        <v>455</v>
      </c>
    </row>
    <row r="257" spans="1:14" ht="15.75">
      <c r="A257" s="4" t="s">
        <v>117</v>
      </c>
      <c r="B257" s="13">
        <v>2020</v>
      </c>
      <c r="C257" s="4" t="s">
        <v>456</v>
      </c>
      <c r="D257" s="15">
        <f>IF('Dados brutos atualizados'!E381="","",'Dados brutos atualizados'!E381)</f>
        <v>7107305652</v>
      </c>
      <c r="E257" s="15">
        <f>IF(D257="","",D257*'Dados brutos atualizados'!G381)</f>
        <v>7107305652</v>
      </c>
      <c r="F257" s="17">
        <f>IF(E257="","",Deflatores!E8)</f>
        <v>1.3567658183986284</v>
      </c>
      <c r="G257" s="15">
        <f t="shared" si="17"/>
        <v>9642949369.5449772</v>
      </c>
      <c r="H257" s="15">
        <f>IF('Dados tratados'!E255="","",'Dados tratados'!E255)</f>
        <v>2686612</v>
      </c>
      <c r="I257" s="15">
        <f t="shared" si="18"/>
        <v>3589.2601423446995</v>
      </c>
      <c r="J257" s="14"/>
      <c r="K257" s="14" t="s">
        <v>417</v>
      </c>
      <c r="L257" s="14" t="s">
        <v>135</v>
      </c>
      <c r="M257" s="18" t="s">
        <v>496</v>
      </c>
      <c r="N257" s="14" t="s">
        <v>459</v>
      </c>
    </row>
    <row r="258" spans="1:14" ht="15.75">
      <c r="A258" s="4" t="s">
        <v>117</v>
      </c>
      <c r="B258" s="13">
        <v>2020</v>
      </c>
      <c r="C258" s="4" t="s">
        <v>460</v>
      </c>
      <c r="D258" s="15">
        <f>IF('Dados brutos atualizados'!E382="","",'Dados brutos atualizados'!E382)</f>
        <v>8720758081.8600006</v>
      </c>
      <c r="E258" s="15">
        <f>IF(D258="","",D258*'Dados brutos atualizados'!G382)</f>
        <v>8720758081.8600006</v>
      </c>
      <c r="F258" s="17">
        <f>IF(E258="","",Deflatores!E8)</f>
        <v>1.3567658183986284</v>
      </c>
      <c r="G258" s="15">
        <f t="shared" si="17"/>
        <v>11832026475.991238</v>
      </c>
      <c r="H258" s="15">
        <f>IF('Dados tratados'!E255="","",'Dados tratados'!E255)</f>
        <v>2686612</v>
      </c>
      <c r="I258" s="15">
        <f t="shared" si="18"/>
        <v>4404.0696892559245</v>
      </c>
      <c r="J258" s="14"/>
      <c r="K258" s="14" t="s">
        <v>417</v>
      </c>
      <c r="L258" s="14" t="s">
        <v>135</v>
      </c>
      <c r="M258" s="18" t="s">
        <v>494</v>
      </c>
      <c r="N258" s="14" t="s">
        <v>462</v>
      </c>
    </row>
    <row r="259" spans="1:14" ht="24">
      <c r="A259" s="4" t="s">
        <v>117</v>
      </c>
      <c r="B259" s="13">
        <v>2020</v>
      </c>
      <c r="C259" s="4" t="s">
        <v>592</v>
      </c>
      <c r="D259" s="15">
        <f>IF(OR('Dados tratados'!E258="",'Dados tratados'!E248=""),"",'Dados tratados'!E258-'Dados tratados'!E248)</f>
        <v>8281510195.6000004</v>
      </c>
      <c r="E259" s="15">
        <f>IF(D259="","",D259)</f>
        <v>8281510195.6000004</v>
      </c>
      <c r="F259" s="17">
        <f>IF(E259="","",Deflatores!E8)</f>
        <v>1.3567658183986284</v>
      </c>
      <c r="G259" s="15">
        <f t="shared" si="17"/>
        <v>11236069958.109819</v>
      </c>
      <c r="H259" s="15">
        <f>IF('Dados tratados'!E255="","",'Dados tratados'!E255)</f>
        <v>2686612</v>
      </c>
      <c r="I259" s="15">
        <f t="shared" si="18"/>
        <v>4182.2451318276771</v>
      </c>
      <c r="J259" s="14"/>
      <c r="K259" s="14" t="s">
        <v>417</v>
      </c>
      <c r="L259" s="14" t="s">
        <v>593</v>
      </c>
      <c r="M259" s="18" t="s">
        <v>594</v>
      </c>
      <c r="N259" s="14" t="s">
        <v>595</v>
      </c>
    </row>
    <row r="260" spans="1:14" ht="36">
      <c r="A260" s="4" t="s">
        <v>117</v>
      </c>
      <c r="B260" s="13">
        <v>2020</v>
      </c>
      <c r="C260" s="4" t="s">
        <v>463</v>
      </c>
      <c r="D260" s="15">
        <f>IF('Dados brutos atualizados'!E383="","",'Dados brutos atualizados'!E383)</f>
        <v>2974401374.4299998</v>
      </c>
      <c r="E260" s="15">
        <f>IF(D260="","",D260*'Dados brutos atualizados'!G383)</f>
        <v>2974401374.4299998</v>
      </c>
      <c r="F260" s="17">
        <f>IF(E260="","",Deflatores!E8)</f>
        <v>1.3567658183986284</v>
      </c>
      <c r="G260" s="15">
        <f t="shared" si="17"/>
        <v>4035566115.0245237</v>
      </c>
      <c r="H260" s="15">
        <f>IF('Dados tratados'!E255="","",'Dados tratados'!E255)</f>
        <v>2686612</v>
      </c>
      <c r="I260" s="15">
        <f t="shared" si="18"/>
        <v>1502.1023188404295</v>
      </c>
      <c r="J260" s="14"/>
      <c r="K260" s="14" t="s">
        <v>417</v>
      </c>
      <c r="L260" s="14" t="s">
        <v>135</v>
      </c>
      <c r="M260" s="18" t="s">
        <v>494</v>
      </c>
      <c r="N260" s="14" t="s">
        <v>466</v>
      </c>
    </row>
    <row r="261" spans="1:14" ht="36">
      <c r="A261" s="4" t="s">
        <v>117</v>
      </c>
      <c r="B261" s="13">
        <v>2020</v>
      </c>
      <c r="C261" s="4" t="s">
        <v>467</v>
      </c>
      <c r="D261" s="15">
        <f>IF('Dados brutos atualizados'!E384="","",'Dados brutos atualizados'!E384)</f>
        <v>1406201350.9000001</v>
      </c>
      <c r="E261" s="15">
        <f>IF(D261="","",D261*'Dados brutos atualizados'!G384)</f>
        <v>1406201350.9000001</v>
      </c>
      <c r="F261" s="17">
        <f>IF(E261="","",Deflatores!E8)</f>
        <v>1.3567658183986284</v>
      </c>
      <c r="G261" s="15">
        <f t="shared" si="17"/>
        <v>1907885926.6870954</v>
      </c>
      <c r="H261" s="15">
        <f>IF('Dados tratados'!E255="","",'Dados tratados'!E255)</f>
        <v>2686612</v>
      </c>
      <c r="I261" s="15">
        <f t="shared" si="18"/>
        <v>710.14568783549521</v>
      </c>
      <c r="J261" s="14"/>
      <c r="K261" s="14" t="s">
        <v>417</v>
      </c>
      <c r="L261" s="14" t="s">
        <v>135</v>
      </c>
      <c r="M261" s="18" t="s">
        <v>494</v>
      </c>
      <c r="N261" s="14" t="s">
        <v>466</v>
      </c>
    </row>
    <row r="262" spans="1:14" ht="24">
      <c r="A262" s="4" t="s">
        <v>117</v>
      </c>
      <c r="B262" s="13">
        <v>2021</v>
      </c>
      <c r="C262" s="4" t="s">
        <v>416</v>
      </c>
      <c r="D262" s="15">
        <f>IF('Dados brutos atualizados'!E385="","",'Dados brutos atualizados'!E385)</f>
        <v>2311145256.8600001</v>
      </c>
      <c r="E262" s="15">
        <f>IF(D262="","",D262*'Dados brutos atualizados'!G385)</f>
        <v>2311145256.8600001</v>
      </c>
      <c r="F262" s="17">
        <f>IF(E262="","",Deflatores!E9)</f>
        <v>1.2527654898892322</v>
      </c>
      <c r="G262" s="15">
        <f t="shared" si="17"/>
        <v>2895323019.9153934</v>
      </c>
      <c r="H262" s="15">
        <f>IF('Dados tratados'!E277="","",'Dados tratados'!E277)</f>
        <v>2703391</v>
      </c>
      <c r="I262" s="15">
        <f t="shared" si="18"/>
        <v>1070.9967666221398</v>
      </c>
      <c r="J262" s="14"/>
      <c r="K262" s="14" t="s">
        <v>417</v>
      </c>
      <c r="L262" s="14" t="s">
        <v>135</v>
      </c>
      <c r="M262" s="18" t="s">
        <v>500</v>
      </c>
      <c r="N262" s="14" t="s">
        <v>420</v>
      </c>
    </row>
    <row r="263" spans="1:14" ht="15.75">
      <c r="A263" s="4" t="s">
        <v>117</v>
      </c>
      <c r="B263" s="13">
        <v>2021</v>
      </c>
      <c r="C263" s="4" t="s">
        <v>422</v>
      </c>
      <c r="D263" s="15">
        <f>IF('Dados brutos atualizados'!E386="","",'Dados brutos atualizados'!E386)</f>
        <v>45.88</v>
      </c>
      <c r="E263" s="15">
        <f>IF(D263="","",D263*'Dados brutos atualizados'!G386)</f>
        <v>45.88</v>
      </c>
      <c r="F263" s="4"/>
      <c r="G263" s="14"/>
      <c r="H263" s="14"/>
      <c r="I263" s="14"/>
      <c r="J263" s="15">
        <f>IF(D263="","",D263)</f>
        <v>45.88</v>
      </c>
      <c r="K263" s="14" t="s">
        <v>423</v>
      </c>
      <c r="L263" s="14" t="s">
        <v>135</v>
      </c>
      <c r="M263" s="18" t="s">
        <v>501</v>
      </c>
      <c r="N263" s="14" t="s">
        <v>426</v>
      </c>
    </row>
    <row r="264" spans="1:14" ht="24">
      <c r="A264" s="4" t="s">
        <v>117</v>
      </c>
      <c r="B264" s="13">
        <v>2021</v>
      </c>
      <c r="C264" s="4" t="s">
        <v>428</v>
      </c>
      <c r="D264" s="15">
        <f>IF('Dados brutos atualizados'!E387="","",'Dados brutos atualizados'!E387)</f>
        <v>545549337.63</v>
      </c>
      <c r="E264" s="15">
        <f>IF(D264="","",D264*'Dados brutos atualizados'!G387)</f>
        <v>545549337.63</v>
      </c>
      <c r="F264" s="17">
        <f>IF(E264="","",Deflatores!E9)</f>
        <v>1.2527654898892322</v>
      </c>
      <c r="G264" s="15">
        <f>IF(OR(E264="",F264=""),"",E264*F264)</f>
        <v>683445383.21479309</v>
      </c>
      <c r="H264" s="14"/>
      <c r="I264" s="14"/>
      <c r="J264" s="14"/>
      <c r="K264" s="14" t="s">
        <v>417</v>
      </c>
      <c r="L264" s="14" t="s">
        <v>431</v>
      </c>
      <c r="M264" s="18" t="s">
        <v>500</v>
      </c>
      <c r="N264" s="14" t="s">
        <v>432</v>
      </c>
    </row>
    <row r="265" spans="1:14" ht="15.75">
      <c r="A265" s="4" t="s">
        <v>117</v>
      </c>
      <c r="B265" s="13">
        <v>2021</v>
      </c>
      <c r="C265" s="4" t="s">
        <v>433</v>
      </c>
      <c r="D265" s="15">
        <f>IF('Dados brutos atualizados'!E388="","",'Dados brutos atualizados'!E388)</f>
        <v>9207122884.1200008</v>
      </c>
      <c r="E265" s="15">
        <f>IF(D265="","",D265*'Dados brutos atualizados'!G388)</f>
        <v>9207122884.1200008</v>
      </c>
      <c r="F265" s="17">
        <f>IF(E265="","",Deflatores!E9)</f>
        <v>1.2527654898892322</v>
      </c>
      <c r="G265" s="15">
        <f>IF(OR(E265="",F265=""),"",E265*F265)</f>
        <v>11534365810.394953</v>
      </c>
      <c r="H265" s="15">
        <f>IF('Dados tratados'!E277="","",'Dados tratados'!E277)</f>
        <v>2703391</v>
      </c>
      <c r="I265" s="15">
        <f>IF(OR(G265="",H265="",H265=0),"",G265/H265)</f>
        <v>4266.6287674979139</v>
      </c>
      <c r="J265" s="14"/>
      <c r="K265" s="14" t="s">
        <v>417</v>
      </c>
      <c r="L265" s="14" t="s">
        <v>135</v>
      </c>
      <c r="M265" s="18" t="s">
        <v>502</v>
      </c>
      <c r="N265" s="14" t="s">
        <v>436</v>
      </c>
    </row>
    <row r="266" spans="1:14" ht="15.75">
      <c r="A266" s="4" t="s">
        <v>117</v>
      </c>
      <c r="B266" s="13">
        <v>2021</v>
      </c>
      <c r="C266" s="4" t="s">
        <v>438</v>
      </c>
      <c r="D266" s="15">
        <f>IF('Dados brutos atualizados'!E389="","",'Dados brutos atualizados'!E389)</f>
        <v>8708986447.2800007</v>
      </c>
      <c r="E266" s="15">
        <f>IF(D266="","",D266*'Dados brutos atualizados'!G389)</f>
        <v>8708986447.2800007</v>
      </c>
      <c r="F266" s="17">
        <f>IF(E266="","",Deflatores!E9)</f>
        <v>1.2527654898892322</v>
      </c>
      <c r="G266" s="15">
        <f>IF(OR(E266="",F266=""),"",E266*F266)</f>
        <v>10910317673.065414</v>
      </c>
      <c r="H266" s="15">
        <f>IF('Dados tratados'!E277="","",'Dados tratados'!E277)</f>
        <v>2703391</v>
      </c>
      <c r="I266" s="15">
        <f>IF(OR(G266="",H266="",H266=0),"",G266/H266)</f>
        <v>4035.7897444599816</v>
      </c>
      <c r="J266" s="14"/>
      <c r="K266" s="14" t="s">
        <v>417</v>
      </c>
      <c r="L266" s="14" t="s">
        <v>135</v>
      </c>
      <c r="M266" s="18" t="s">
        <v>502</v>
      </c>
      <c r="N266" s="14" t="s">
        <v>436</v>
      </c>
    </row>
    <row r="267" spans="1:14" ht="15.75">
      <c r="A267" s="4" t="s">
        <v>117</v>
      </c>
      <c r="B267" s="13">
        <v>2021</v>
      </c>
      <c r="C267" s="4" t="s">
        <v>440</v>
      </c>
      <c r="D267" s="15">
        <f>IF('Dados brutos atualizados'!E390="","",'Dados brutos atualizados'!E390)</f>
        <v>8629266990.1200008</v>
      </c>
      <c r="E267" s="15">
        <f>IF(D267="","",D267*'Dados brutos atualizados'!G390)</f>
        <v>8629266990.1200008</v>
      </c>
      <c r="F267" s="17">
        <f>IF(E267="","",Deflatores!E9)</f>
        <v>1.2527654898892322</v>
      </c>
      <c r="G267" s="15">
        <f>IF(OR(E267="",F267=""),"",E267*F267)</f>
        <v>10810447888.262663</v>
      </c>
      <c r="H267" s="15">
        <f>IF('Dados tratados'!E277="","",'Dados tratados'!E277)</f>
        <v>2703391</v>
      </c>
      <c r="I267" s="15">
        <f>IF(OR(G267="",H267="",H267=0),"",G267/H267)</f>
        <v>3998.8473322070922</v>
      </c>
      <c r="J267" s="14"/>
      <c r="K267" s="14" t="s">
        <v>417</v>
      </c>
      <c r="L267" s="14" t="s">
        <v>135</v>
      </c>
      <c r="M267" s="18" t="s">
        <v>502</v>
      </c>
      <c r="N267" s="14" t="s">
        <v>436</v>
      </c>
    </row>
    <row r="268" spans="1:14" ht="15.75">
      <c r="A268" s="4" t="s">
        <v>117</v>
      </c>
      <c r="B268" s="13">
        <v>2021</v>
      </c>
      <c r="C268" s="4" t="s">
        <v>442</v>
      </c>
      <c r="D268" s="15">
        <f>IF('Dados brutos atualizados'!E391="","",'Dados brutos atualizados'!E391)</f>
        <v>3530530434.7399998</v>
      </c>
      <c r="E268" s="15">
        <f>IF(D268="","",D268*'Dados brutos atualizados'!G391)</f>
        <v>3530530434.7399998</v>
      </c>
      <c r="F268" s="17">
        <f>IF(E268="","",Deflatores!E9)</f>
        <v>1.2527654898892322</v>
      </c>
      <c r="G268" s="15">
        <f>IF(OR(E268="",F268=""),"",E268*F268)</f>
        <v>4422926689.6458998</v>
      </c>
      <c r="H268" s="15">
        <f>IF('Dados tratados'!E277="","",'Dados tratados'!E277)</f>
        <v>2703391</v>
      </c>
      <c r="I268" s="15">
        <f>IF(OR(G268="",H268="",H268=0),"",G268/H268)</f>
        <v>1636.0662181851976</v>
      </c>
      <c r="J268" s="14"/>
      <c r="K268" s="14" t="s">
        <v>417</v>
      </c>
      <c r="L268" s="14" t="s">
        <v>135</v>
      </c>
      <c r="M268" s="18" t="s">
        <v>501</v>
      </c>
      <c r="N268" s="14" t="s">
        <v>444</v>
      </c>
    </row>
    <row r="269" spans="1:14" ht="15.75">
      <c r="A269" s="4" t="s">
        <v>117</v>
      </c>
      <c r="B269" s="13">
        <v>2021</v>
      </c>
      <c r="C269" s="4" t="s">
        <v>374</v>
      </c>
      <c r="D269" s="15">
        <f>IF('Dados brutos atualizados'!E392="","",'Dados brutos atualizados'!E392)</f>
        <v>5.2096669999999996</v>
      </c>
      <c r="E269" s="15">
        <f>IF(D269="","",D269*'Dados brutos atualizados'!G392)</f>
        <v>5.2096669999999996</v>
      </c>
      <c r="F269" s="4"/>
      <c r="G269" s="14"/>
      <c r="H269" s="14"/>
      <c r="I269" s="14"/>
      <c r="J269" s="15">
        <f t="shared" ref="J269:J274" si="19">IF(D269="","",D269)</f>
        <v>5.2096669999999996</v>
      </c>
      <c r="K269" s="14" t="s">
        <v>375</v>
      </c>
      <c r="L269" s="14" t="s">
        <v>378</v>
      </c>
      <c r="M269" s="18" t="s">
        <v>380</v>
      </c>
      <c r="N269" s="14" t="s">
        <v>379</v>
      </c>
    </row>
    <row r="270" spans="1:14" ht="15.75">
      <c r="A270" s="4" t="s">
        <v>117</v>
      </c>
      <c r="B270" s="13">
        <v>2021</v>
      </c>
      <c r="C270" s="4" t="s">
        <v>381</v>
      </c>
      <c r="D270" s="15">
        <f>IF('Dados brutos atualizados'!E393="","",'Dados brutos atualizados'!E393)</f>
        <v>5.8495140000000001</v>
      </c>
      <c r="E270" s="15">
        <f>IF(D270="","",D270*'Dados brutos atualizados'!G393)</f>
        <v>5.8495140000000001</v>
      </c>
      <c r="F270" s="4"/>
      <c r="G270" s="14"/>
      <c r="H270" s="14"/>
      <c r="I270" s="14"/>
      <c r="J270" s="15">
        <f t="shared" si="19"/>
        <v>5.8495140000000001</v>
      </c>
      <c r="K270" s="14" t="s">
        <v>375</v>
      </c>
      <c r="L270" s="14" t="s">
        <v>378</v>
      </c>
      <c r="M270" s="18" t="s">
        <v>382</v>
      </c>
      <c r="N270" s="14" t="s">
        <v>379</v>
      </c>
    </row>
    <row r="271" spans="1:14" ht="15.75">
      <c r="A271" s="4" t="s">
        <v>117</v>
      </c>
      <c r="B271" s="13">
        <v>2021</v>
      </c>
      <c r="C271" s="4" t="s">
        <v>383</v>
      </c>
      <c r="D271" s="15">
        <f>IF('Dados brutos atualizados'!E394="","",'Dados brutos atualizados'!E394)</f>
        <v>0.99824999999999997</v>
      </c>
      <c r="E271" s="15">
        <f>IF(D271="","",D271*'Dados brutos atualizados'!G394)</f>
        <v>0.99824999999999997</v>
      </c>
      <c r="F271" s="4"/>
      <c r="G271" s="14"/>
      <c r="H271" s="14"/>
      <c r="I271" s="14"/>
      <c r="J271" s="15">
        <f t="shared" si="19"/>
        <v>0.99824999999999997</v>
      </c>
      <c r="K271" s="14" t="s">
        <v>384</v>
      </c>
      <c r="L271" s="14" t="s">
        <v>378</v>
      </c>
      <c r="M271" s="18" t="s">
        <v>380</v>
      </c>
      <c r="N271" s="14" t="s">
        <v>379</v>
      </c>
    </row>
    <row r="272" spans="1:14" ht="15.75">
      <c r="A272" s="4" t="s">
        <v>117</v>
      </c>
      <c r="B272" s="13">
        <v>2021</v>
      </c>
      <c r="C272" s="4" t="s">
        <v>386</v>
      </c>
      <c r="D272" s="15">
        <f>IF('Dados brutos atualizados'!E395="","",'Dados brutos atualizados'!E395)</f>
        <v>0.99919999999999998</v>
      </c>
      <c r="E272" s="15">
        <f>IF(D272="","",D272*'Dados brutos atualizados'!G395)</f>
        <v>0.99919999999999998</v>
      </c>
      <c r="F272" s="4"/>
      <c r="G272" s="14"/>
      <c r="H272" s="14"/>
      <c r="I272" s="14"/>
      <c r="J272" s="15">
        <f t="shared" si="19"/>
        <v>0.99919999999999998</v>
      </c>
      <c r="K272" s="14" t="s">
        <v>384</v>
      </c>
      <c r="L272" s="14" t="s">
        <v>378</v>
      </c>
      <c r="M272" s="18" t="s">
        <v>382</v>
      </c>
      <c r="N272" s="14" t="s">
        <v>379</v>
      </c>
    </row>
    <row r="273" spans="1:14" ht="24">
      <c r="A273" s="4" t="s">
        <v>117</v>
      </c>
      <c r="B273" s="13">
        <v>2021</v>
      </c>
      <c r="C273" s="4" t="s">
        <v>587</v>
      </c>
      <c r="D273" s="15">
        <f>IF(OR('Dados brutos atualizados'!E394="",'Dados brutos atualizados'!E392=""),"",'Dados brutos atualizados'!E394*'Dados brutos atualizados'!E392)</f>
        <v>5.2005500827499995</v>
      </c>
      <c r="E273" s="15">
        <f>IF(D273="","",D273)</f>
        <v>5.2005500827499995</v>
      </c>
      <c r="F273" s="4"/>
      <c r="G273" s="14"/>
      <c r="H273" s="14"/>
      <c r="I273" s="14"/>
      <c r="J273" s="15">
        <f t="shared" si="19"/>
        <v>5.2005500827499995</v>
      </c>
      <c r="K273" s="14" t="s">
        <v>588</v>
      </c>
      <c r="L273" s="14" t="s">
        <v>589</v>
      </c>
      <c r="M273" s="18" t="s">
        <v>380</v>
      </c>
      <c r="N273" s="14" t="s">
        <v>590</v>
      </c>
    </row>
    <row r="274" spans="1:14" ht="24">
      <c r="A274" s="4" t="s">
        <v>117</v>
      </c>
      <c r="B274" s="13">
        <v>2021</v>
      </c>
      <c r="C274" s="4" t="s">
        <v>591</v>
      </c>
      <c r="D274" s="15">
        <f>IF(OR('Dados brutos atualizados'!E395="",'Dados brutos atualizados'!E393=""),"",'Dados brutos atualizados'!E395*'Dados brutos atualizados'!E393)</f>
        <v>5.8448343887999998</v>
      </c>
      <c r="E274" s="15">
        <f>IF(D274="","",D274)</f>
        <v>5.8448343887999998</v>
      </c>
      <c r="F274" s="4"/>
      <c r="G274" s="14"/>
      <c r="H274" s="14"/>
      <c r="I274" s="14"/>
      <c r="J274" s="15">
        <f t="shared" si="19"/>
        <v>5.8448343887999998</v>
      </c>
      <c r="K274" s="14" t="s">
        <v>588</v>
      </c>
      <c r="L274" s="14" t="s">
        <v>589</v>
      </c>
      <c r="M274" s="18" t="s">
        <v>382</v>
      </c>
      <c r="N274" s="14" t="s">
        <v>590</v>
      </c>
    </row>
    <row r="275" spans="1:14" ht="24">
      <c r="A275" s="4" t="s">
        <v>117</v>
      </c>
      <c r="B275" s="13">
        <v>2021</v>
      </c>
      <c r="C275" s="4" t="s">
        <v>394</v>
      </c>
      <c r="D275" s="15">
        <f>IF('Dados brutos atualizados'!E396="","",'Dados brutos atualizados'!E396)</f>
        <v>73437738.923999995</v>
      </c>
      <c r="E275" s="15">
        <f>IF(D275="","",D275*'Dados brutos atualizados'!G396)</f>
        <v>73437738924</v>
      </c>
      <c r="F275" s="17">
        <f>IF(E275="","",Deflatores!E9)</f>
        <v>1.2527654898892322</v>
      </c>
      <c r="G275" s="15">
        <f>IF(OR(E275="",F275=""),"",E275*F275)</f>
        <v>92000264979.482391</v>
      </c>
      <c r="H275" s="15">
        <f>IF('Dados tratados'!E277="","",'Dados tratados'!E277)</f>
        <v>2703391</v>
      </c>
      <c r="I275" s="15">
        <f>IF(OR(G275="",H275="",H275=0),"",G275/H275)</f>
        <v>34031.431257810058</v>
      </c>
      <c r="J275" s="14"/>
      <c r="K275" s="14" t="s">
        <v>395</v>
      </c>
      <c r="L275" s="14" t="s">
        <v>135</v>
      </c>
      <c r="M275" s="18" t="s">
        <v>399</v>
      </c>
      <c r="N275" s="14" t="s">
        <v>398</v>
      </c>
    </row>
    <row r="276" spans="1:14" ht="24">
      <c r="A276" s="4" t="s">
        <v>117</v>
      </c>
      <c r="B276" s="13">
        <v>2021</v>
      </c>
      <c r="C276" s="4" t="s">
        <v>400</v>
      </c>
      <c r="D276" s="15">
        <f>IF('Dados brutos atualizados'!E397="","",'Dados brutos atualizados'!E397)</f>
        <v>27165.05</v>
      </c>
      <c r="E276" s="15">
        <f>IF(D276="","",D276*'Dados brutos atualizados'!G397)</f>
        <v>27165.05</v>
      </c>
      <c r="F276" s="17">
        <f>IF(E276="","",Deflatores!E9)</f>
        <v>1.2527654898892322</v>
      </c>
      <c r="G276" s="15">
        <f>IF(OR(E276="",F276=""),"",E276*F276)</f>
        <v>34031.437171115489</v>
      </c>
      <c r="H276" s="14"/>
      <c r="I276" s="14"/>
      <c r="J276" s="14"/>
      <c r="K276" s="14" t="s">
        <v>401</v>
      </c>
      <c r="L276" s="14" t="s">
        <v>135</v>
      </c>
      <c r="M276" s="18" t="s">
        <v>399</v>
      </c>
      <c r="N276" s="14" t="s">
        <v>404</v>
      </c>
    </row>
    <row r="277" spans="1:14" ht="15.75">
      <c r="A277" s="4" t="s">
        <v>117</v>
      </c>
      <c r="B277" s="13">
        <v>2021</v>
      </c>
      <c r="C277" s="4" t="s">
        <v>445</v>
      </c>
      <c r="D277" s="15">
        <f>IF('Dados brutos atualizados'!E398="","",'Dados brutos atualizados'!E398)</f>
        <v>2703391</v>
      </c>
      <c r="E277" s="15">
        <f>IF(D277="","",D277*'Dados brutos atualizados'!G398)</f>
        <v>2703391</v>
      </c>
      <c r="F277" s="4"/>
      <c r="G277" s="14"/>
      <c r="H277" s="14"/>
      <c r="I277" s="14"/>
      <c r="J277" s="15">
        <f>IF(D277="","",D277)</f>
        <v>2703391</v>
      </c>
      <c r="K277" s="14" t="s">
        <v>446</v>
      </c>
      <c r="L277" s="14" t="s">
        <v>449</v>
      </c>
      <c r="M277" s="18" t="s">
        <v>451</v>
      </c>
      <c r="N277" s="14" t="s">
        <v>450</v>
      </c>
    </row>
    <row r="278" spans="1:14" ht="15.75">
      <c r="A278" s="4" t="s">
        <v>117</v>
      </c>
      <c r="B278" s="13">
        <v>2021</v>
      </c>
      <c r="C278" s="4" t="s">
        <v>452</v>
      </c>
      <c r="D278" s="15">
        <f>IF('Dados brutos atualizados'!E399="","",'Dados brutos atualizados'!E399)</f>
        <v>7702279867.5699997</v>
      </c>
      <c r="E278" s="15">
        <f>IF(D278="","",D278*'Dados brutos atualizados'!G399)</f>
        <v>7702279867.5699997</v>
      </c>
      <c r="F278" s="17">
        <f>IF(E278="","",Deflatores!E9)</f>
        <v>1.2527654898892322</v>
      </c>
      <c r="G278" s="15">
        <f t="shared" ref="G278:G284" si="20">IF(OR(E278="",F278=""),"",E278*F278)</f>
        <v>9649150411.5603008</v>
      </c>
      <c r="H278" s="15">
        <f>IF('Dados tratados'!E277="","",'Dados tratados'!E277)</f>
        <v>2703391</v>
      </c>
      <c r="I278" s="15">
        <f t="shared" ref="I278:I284" si="21">IF(OR(G278="",H278="",H278=0),"",G278/H278)</f>
        <v>3569.2766645891402</v>
      </c>
      <c r="J278" s="14"/>
      <c r="K278" s="14" t="s">
        <v>417</v>
      </c>
      <c r="L278" s="14" t="s">
        <v>135</v>
      </c>
      <c r="M278" s="18" t="s">
        <v>501</v>
      </c>
      <c r="N278" s="14" t="s">
        <v>455</v>
      </c>
    </row>
    <row r="279" spans="1:14" ht="15.75">
      <c r="A279" s="4" t="s">
        <v>117</v>
      </c>
      <c r="B279" s="13">
        <v>2021</v>
      </c>
      <c r="C279" s="4" t="s">
        <v>456</v>
      </c>
      <c r="D279" s="15">
        <f>IF('Dados brutos atualizados'!E400="","",'Dados brutos atualizados'!E400)</f>
        <v>7695702250.96</v>
      </c>
      <c r="E279" s="15">
        <f>IF(D279="","",D279*'Dados brutos atualizados'!G400)</f>
        <v>7695702250.96</v>
      </c>
      <c r="F279" s="17">
        <f>IF(E279="","",Deflatores!E9)</f>
        <v>1.2527654898892322</v>
      </c>
      <c r="G279" s="15">
        <f t="shared" si="20"/>
        <v>9640910200.4655704</v>
      </c>
      <c r="H279" s="15">
        <f>IF('Dados tratados'!E277="","",'Dados tratados'!E277)</f>
        <v>2703391</v>
      </c>
      <c r="I279" s="15">
        <f t="shared" si="21"/>
        <v>3566.228562744187</v>
      </c>
      <c r="J279" s="14"/>
      <c r="K279" s="14" t="s">
        <v>417</v>
      </c>
      <c r="L279" s="14" t="s">
        <v>135</v>
      </c>
      <c r="M279" s="18" t="s">
        <v>501</v>
      </c>
      <c r="N279" s="14" t="s">
        <v>459</v>
      </c>
    </row>
    <row r="280" spans="1:14" ht="15.75">
      <c r="A280" s="4" t="s">
        <v>117</v>
      </c>
      <c r="B280" s="13">
        <v>2021</v>
      </c>
      <c r="C280" s="4" t="s">
        <v>460</v>
      </c>
      <c r="D280" s="15">
        <f>IF('Dados brutos atualizados'!E401="","",'Dados brutos atualizados'!E401)</f>
        <v>9559438138.8199997</v>
      </c>
      <c r="E280" s="15">
        <f>IF(D280="","",D280*'Dados brutos atualizados'!G401)</f>
        <v>9559438138.8199997</v>
      </c>
      <c r="F280" s="17">
        <f>IF(E280="","",Deflatores!E9)</f>
        <v>1.2527654898892322</v>
      </c>
      <c r="G280" s="15">
        <f t="shared" si="20"/>
        <v>11975734203.044647</v>
      </c>
      <c r="H280" s="15">
        <f>IF('Dados tratados'!E277="","",'Dados tratados'!E277)</f>
        <v>2703391</v>
      </c>
      <c r="I280" s="15">
        <f t="shared" si="21"/>
        <v>4429.8934941503639</v>
      </c>
      <c r="J280" s="14"/>
      <c r="K280" s="14" t="s">
        <v>417</v>
      </c>
      <c r="L280" s="14" t="s">
        <v>135</v>
      </c>
      <c r="M280" s="18" t="s">
        <v>500</v>
      </c>
      <c r="N280" s="14" t="s">
        <v>462</v>
      </c>
    </row>
    <row r="281" spans="1:14" ht="24">
      <c r="A281" s="4" t="s">
        <v>117</v>
      </c>
      <c r="B281" s="13">
        <v>2021</v>
      </c>
      <c r="C281" s="4" t="s">
        <v>592</v>
      </c>
      <c r="D281" s="15">
        <f>IF(OR('Dados tratados'!E280="",'Dados tratados'!E264=""),"",'Dados tratados'!E280-'Dados tratados'!E264)</f>
        <v>9013888801.1900005</v>
      </c>
      <c r="E281" s="15">
        <f>IF(D281="","",D281)</f>
        <v>9013888801.1900005</v>
      </c>
      <c r="F281" s="17">
        <f>IF(E281="","",Deflatores!E9)</f>
        <v>1.2527654898892322</v>
      </c>
      <c r="G281" s="15">
        <f t="shared" si="20"/>
        <v>11292288819.829855</v>
      </c>
      <c r="H281" s="15">
        <f>IF('Dados tratados'!E277="","",'Dados tratados'!E277)</f>
        <v>2703391</v>
      </c>
      <c r="I281" s="15">
        <f t="shared" si="21"/>
        <v>4177.0830855876393</v>
      </c>
      <c r="J281" s="14"/>
      <c r="K281" s="14" t="s">
        <v>417</v>
      </c>
      <c r="L281" s="14" t="s">
        <v>593</v>
      </c>
      <c r="M281" s="18" t="s">
        <v>594</v>
      </c>
      <c r="N281" s="14" t="s">
        <v>595</v>
      </c>
    </row>
    <row r="282" spans="1:14" ht="36">
      <c r="A282" s="4" t="s">
        <v>117</v>
      </c>
      <c r="B282" s="13">
        <v>2021</v>
      </c>
      <c r="C282" s="4" t="s">
        <v>463</v>
      </c>
      <c r="D282" s="15">
        <f>IF('Dados brutos atualizados'!E402="","",'Dados brutos atualizados'!E402)</f>
        <v>2815719373.4000001</v>
      </c>
      <c r="E282" s="15">
        <f>IF(D282="","",D282*'Dados brutos atualizados'!G402)</f>
        <v>2815719373.4000001</v>
      </c>
      <c r="F282" s="17">
        <f>IF(E282="","",Deflatores!E9)</f>
        <v>1.2527654898892322</v>
      </c>
      <c r="G282" s="15">
        <f t="shared" si="20"/>
        <v>3527436060.2080531</v>
      </c>
      <c r="H282" s="15">
        <f>IF('Dados tratados'!E277="","",'Dados tratados'!E277)</f>
        <v>2703391</v>
      </c>
      <c r="I282" s="15">
        <f t="shared" si="21"/>
        <v>1304.8190440110413</v>
      </c>
      <c r="J282" s="14"/>
      <c r="K282" s="14" t="s">
        <v>417</v>
      </c>
      <c r="L282" s="14" t="s">
        <v>135</v>
      </c>
      <c r="M282" s="18" t="s">
        <v>500</v>
      </c>
      <c r="N282" s="14" t="s">
        <v>466</v>
      </c>
    </row>
    <row r="283" spans="1:14" ht="36">
      <c r="A283" s="4" t="s">
        <v>117</v>
      </c>
      <c r="B283" s="13">
        <v>2021</v>
      </c>
      <c r="C283" s="4" t="s">
        <v>467</v>
      </c>
      <c r="D283" s="15">
        <f>IF('Dados brutos atualizados'!E403="","",'Dados brutos atualizados'!E403)</f>
        <v>1689961158.9300001</v>
      </c>
      <c r="E283" s="15">
        <f>IF(D283="","",D283*'Dados brutos atualizados'!G403)</f>
        <v>1689961158.9300001</v>
      </c>
      <c r="F283" s="17">
        <f>IF(E283="","",Deflatores!E9)</f>
        <v>1.2527654898892322</v>
      </c>
      <c r="G283" s="15">
        <f t="shared" si="20"/>
        <v>2117125019.1607161</v>
      </c>
      <c r="H283" s="15">
        <f>IF('Dados tratados'!E277="","",'Dados tratados'!E277)</f>
        <v>2703391</v>
      </c>
      <c r="I283" s="15">
        <f t="shared" si="21"/>
        <v>783.13681563662681</v>
      </c>
      <c r="J283" s="14"/>
      <c r="K283" s="14" t="s">
        <v>417</v>
      </c>
      <c r="L283" s="14" t="s">
        <v>135</v>
      </c>
      <c r="M283" s="18" t="s">
        <v>500</v>
      </c>
      <c r="N283" s="14" t="s">
        <v>466</v>
      </c>
    </row>
    <row r="284" spans="1:14" ht="24">
      <c r="A284" s="4" t="s">
        <v>117</v>
      </c>
      <c r="B284" s="13">
        <v>2022</v>
      </c>
      <c r="C284" s="4" t="s">
        <v>416</v>
      </c>
      <c r="D284" s="15">
        <f>IF('Dados brutos atualizados'!E404="","",'Dados brutos atualizados'!E404)</f>
        <v>2701459898.1999998</v>
      </c>
      <c r="E284" s="15">
        <f>IF(D284="","",D284*'Dados brutos atualizados'!G404)</f>
        <v>2701459898.1999998</v>
      </c>
      <c r="F284" s="17">
        <f>IF(E284="","",Deflatores!E10)</f>
        <v>1.1463801918918652</v>
      </c>
      <c r="G284" s="15">
        <f t="shared" si="20"/>
        <v>3096900116.4866943</v>
      </c>
      <c r="H284" s="15">
        <f>IF('Dados tratados'!E293="","",'Dados tratados'!E293)</f>
        <v>2428708</v>
      </c>
      <c r="I284" s="15">
        <f t="shared" si="21"/>
        <v>1275.1224587256659</v>
      </c>
      <c r="J284" s="14"/>
      <c r="K284" s="14" t="s">
        <v>417</v>
      </c>
      <c r="L284" s="14" t="s">
        <v>135</v>
      </c>
      <c r="M284" s="18" t="s">
        <v>505</v>
      </c>
      <c r="N284" s="14" t="s">
        <v>420</v>
      </c>
    </row>
    <row r="285" spans="1:14" ht="15.75">
      <c r="A285" s="4" t="s">
        <v>117</v>
      </c>
      <c r="B285" s="13">
        <v>2022</v>
      </c>
      <c r="C285" s="4" t="s">
        <v>422</v>
      </c>
      <c r="D285" s="15">
        <f>IF('Dados brutos atualizados'!E405="","",'Dados brutos atualizados'!E405)</f>
        <v>49.34</v>
      </c>
      <c r="E285" s="15">
        <f>IF(D285="","",D285*'Dados brutos atualizados'!G405)</f>
        <v>49.34</v>
      </c>
      <c r="F285" s="4"/>
      <c r="G285" s="14"/>
      <c r="H285" s="14"/>
      <c r="I285" s="14"/>
      <c r="J285" s="15">
        <f>IF(D285="","",D285)</f>
        <v>49.34</v>
      </c>
      <c r="K285" s="14" t="s">
        <v>423</v>
      </c>
      <c r="L285" s="14" t="s">
        <v>135</v>
      </c>
      <c r="M285" s="18" t="s">
        <v>506</v>
      </c>
      <c r="N285" s="14" t="s">
        <v>426</v>
      </c>
    </row>
    <row r="286" spans="1:14" ht="24">
      <c r="A286" s="4" t="s">
        <v>117</v>
      </c>
      <c r="B286" s="13">
        <v>2022</v>
      </c>
      <c r="C286" s="4" t="s">
        <v>428</v>
      </c>
      <c r="D286" s="15">
        <f>IF('Dados brutos atualizados'!E406="","",'Dados brutos atualizados'!E406)</f>
        <v>591506828.88999999</v>
      </c>
      <c r="E286" s="15">
        <f>IF(D286="","",D286*'Dados brutos atualizados'!G406)</f>
        <v>591506828.88999999</v>
      </c>
      <c r="F286" s="17">
        <f>IF(E286="","",Deflatores!E10)</f>
        <v>1.1463801918918652</v>
      </c>
      <c r="G286" s="15">
        <f t="shared" ref="G286:G292" si="22">IF(OR(E286="",F286=""),"",E286*F286)</f>
        <v>678091712.00826693</v>
      </c>
      <c r="H286" s="14"/>
      <c r="I286" s="14"/>
      <c r="J286" s="14"/>
      <c r="K286" s="14" t="s">
        <v>417</v>
      </c>
      <c r="L286" s="14" t="s">
        <v>431</v>
      </c>
      <c r="M286" s="18" t="s">
        <v>505</v>
      </c>
      <c r="N286" s="14" t="s">
        <v>432</v>
      </c>
    </row>
    <row r="287" spans="1:14" ht="15.75">
      <c r="A287" s="4" t="s">
        <v>117</v>
      </c>
      <c r="B287" s="13">
        <v>2022</v>
      </c>
      <c r="C287" s="4" t="s">
        <v>433</v>
      </c>
      <c r="D287" s="15">
        <f>IF('Dados brutos atualizados'!E407="","",'Dados brutos atualizados'!E407)</f>
        <v>10284558817.75</v>
      </c>
      <c r="E287" s="15">
        <f>IF(D287="","",D287*'Dados brutos atualizados'!G407)</f>
        <v>10284558817.75</v>
      </c>
      <c r="F287" s="17">
        <f>IF(E287="","",Deflatores!E10)</f>
        <v>1.1463801918918652</v>
      </c>
      <c r="G287" s="15">
        <f t="shared" si="22"/>
        <v>11790014511.015419</v>
      </c>
      <c r="H287" s="15">
        <f>IF('Dados tratados'!E293="","",'Dados tratados'!E293)</f>
        <v>2428708</v>
      </c>
      <c r="I287" s="15">
        <f>IF(OR(G287="",H287="",H287=0),"",G287/H287)</f>
        <v>4854.438866679493</v>
      </c>
      <c r="J287" s="14"/>
      <c r="K287" s="14" t="s">
        <v>417</v>
      </c>
      <c r="L287" s="14" t="s">
        <v>135</v>
      </c>
      <c r="M287" s="18" t="s">
        <v>507</v>
      </c>
      <c r="N287" s="14" t="s">
        <v>436</v>
      </c>
    </row>
    <row r="288" spans="1:14" ht="15.75">
      <c r="A288" s="4" t="s">
        <v>117</v>
      </c>
      <c r="B288" s="13">
        <v>2022</v>
      </c>
      <c r="C288" s="4" t="s">
        <v>438</v>
      </c>
      <c r="D288" s="15">
        <f>IF('Dados brutos atualizados'!E408="","",'Dados brutos atualizados'!E408)</f>
        <v>10130377840.290001</v>
      </c>
      <c r="E288" s="15">
        <f>IF(D288="","",D288*'Dados brutos atualizados'!G408)</f>
        <v>10130377840.290001</v>
      </c>
      <c r="F288" s="17">
        <f>IF(E288="","",Deflatores!E10)</f>
        <v>1.1463801918918652</v>
      </c>
      <c r="G288" s="15">
        <f t="shared" si="22"/>
        <v>11613264492.48875</v>
      </c>
      <c r="H288" s="15">
        <f>IF('Dados tratados'!E293="","",'Dados tratados'!E293)</f>
        <v>2428708</v>
      </c>
      <c r="I288" s="15">
        <f>IF(OR(G288="",H288="",H288=0),"",G288/H288)</f>
        <v>4781.6635398280696</v>
      </c>
      <c r="J288" s="14"/>
      <c r="K288" s="14" t="s">
        <v>417</v>
      </c>
      <c r="L288" s="14" t="s">
        <v>135</v>
      </c>
      <c r="M288" s="18" t="s">
        <v>507</v>
      </c>
      <c r="N288" s="14" t="s">
        <v>436</v>
      </c>
    </row>
    <row r="289" spans="1:14" ht="15.75">
      <c r="A289" s="4" t="s">
        <v>117</v>
      </c>
      <c r="B289" s="13">
        <v>2022</v>
      </c>
      <c r="C289" s="4" t="s">
        <v>440</v>
      </c>
      <c r="D289" s="15">
        <f>IF('Dados brutos atualizados'!E409="","",'Dados brutos atualizados'!E409)</f>
        <v>10031380300.6</v>
      </c>
      <c r="E289" s="15">
        <f>IF(D289="","",D289*'Dados brutos atualizados'!G409)</f>
        <v>10031380300.6</v>
      </c>
      <c r="F289" s="17">
        <f>IF(E289="","",Deflatores!E10)</f>
        <v>1.1463801918918652</v>
      </c>
      <c r="G289" s="15">
        <f t="shared" si="22"/>
        <v>11499775673.942104</v>
      </c>
      <c r="H289" s="15">
        <f>IF('Dados tratados'!E293="","",'Dados tratados'!E293)</f>
        <v>2428708</v>
      </c>
      <c r="I289" s="15">
        <f>IF(OR(G289="",H289="",H289=0),"",G289/H289)</f>
        <v>4734.9354776045966</v>
      </c>
      <c r="J289" s="14"/>
      <c r="K289" s="14" t="s">
        <v>417</v>
      </c>
      <c r="L289" s="14" t="s">
        <v>135</v>
      </c>
      <c r="M289" s="18" t="s">
        <v>507</v>
      </c>
      <c r="N289" s="14" t="s">
        <v>436</v>
      </c>
    </row>
    <row r="290" spans="1:14" ht="15.75">
      <c r="A290" s="4" t="s">
        <v>117</v>
      </c>
      <c r="B290" s="13">
        <v>2022</v>
      </c>
      <c r="C290" s="4" t="s">
        <v>442</v>
      </c>
      <c r="D290" s="15">
        <f>IF('Dados brutos atualizados'!E410="","",'Dados brutos atualizados'!E410)</f>
        <v>4403839917.2600002</v>
      </c>
      <c r="E290" s="15">
        <f>IF(D290="","",D290*'Dados brutos atualizados'!G410)</f>
        <v>4403839917.2600002</v>
      </c>
      <c r="F290" s="17">
        <f>IF(E290="","",Deflatores!E10)</f>
        <v>1.1463801918918652</v>
      </c>
      <c r="G290" s="15">
        <f t="shared" si="22"/>
        <v>5048474849.4095755</v>
      </c>
      <c r="H290" s="15">
        <f>IF('Dados tratados'!E293="","",'Dados tratados'!E293)</f>
        <v>2428708</v>
      </c>
      <c r="I290" s="15">
        <f>IF(OR(G290="",H290="",H290=0),"",G290/H290)</f>
        <v>2078.6668670789472</v>
      </c>
      <c r="J290" s="14"/>
      <c r="K290" s="14" t="s">
        <v>417</v>
      </c>
      <c r="L290" s="14" t="s">
        <v>135</v>
      </c>
      <c r="M290" s="18" t="s">
        <v>506</v>
      </c>
      <c r="N290" s="14" t="s">
        <v>444</v>
      </c>
    </row>
    <row r="291" spans="1:14" ht="24">
      <c r="A291" s="4" t="s">
        <v>117</v>
      </c>
      <c r="B291" s="13">
        <v>2022</v>
      </c>
      <c r="C291" s="4" t="s">
        <v>394</v>
      </c>
      <c r="D291" s="15">
        <f>IF('Dados brutos atualizados'!E411="","",'Dados brutos atualizados'!E411)</f>
        <v>81362332.599999994</v>
      </c>
      <c r="E291" s="15">
        <f>IF(D291="","",D291*'Dados brutos atualizados'!G411)</f>
        <v>81362332600</v>
      </c>
      <c r="F291" s="17">
        <f>IF(E291="","",Deflatores!E10)</f>
        <v>1.1463801918918652</v>
      </c>
      <c r="G291" s="15">
        <f t="shared" si="22"/>
        <v>93272166458.757767</v>
      </c>
      <c r="H291" s="15">
        <f>IF('Dados tratados'!E293="","",'Dados tratados'!E293)</f>
        <v>2428708</v>
      </c>
      <c r="I291" s="15">
        <f>IF(OR(G291="",H291="",H291=0),"",G291/H291)</f>
        <v>38404.026527173199</v>
      </c>
      <c r="J291" s="14"/>
      <c r="K291" s="14" t="s">
        <v>395</v>
      </c>
      <c r="L291" s="14" t="s">
        <v>135</v>
      </c>
      <c r="M291" s="18" t="s">
        <v>399</v>
      </c>
      <c r="N291" s="14" t="s">
        <v>398</v>
      </c>
    </row>
    <row r="292" spans="1:14" ht="24">
      <c r="A292" s="4" t="s">
        <v>117</v>
      </c>
      <c r="B292" s="13">
        <v>2022</v>
      </c>
      <c r="C292" s="4" t="s">
        <v>400</v>
      </c>
      <c r="D292" s="15">
        <f>IF('Dados brutos atualizados'!E412="","",'Dados brutos atualizados'!E412)</f>
        <v>33500.67</v>
      </c>
      <c r="E292" s="15">
        <f>IF(D292="","",D292*'Dados brutos atualizados'!G412)</f>
        <v>33500.67</v>
      </c>
      <c r="F292" s="17">
        <f>IF(E292="","",Deflatores!E10)</f>
        <v>1.1463801918918652</v>
      </c>
      <c r="G292" s="15">
        <f t="shared" si="22"/>
        <v>38404.504503106051</v>
      </c>
      <c r="H292" s="14"/>
      <c r="I292" s="14"/>
      <c r="J292" s="14"/>
      <c r="K292" s="14" t="s">
        <v>401</v>
      </c>
      <c r="L292" s="14" t="s">
        <v>135</v>
      </c>
      <c r="M292" s="18" t="s">
        <v>399</v>
      </c>
      <c r="N292" s="14" t="s">
        <v>404</v>
      </c>
    </row>
    <row r="293" spans="1:14" ht="15.75">
      <c r="A293" s="4" t="s">
        <v>117</v>
      </c>
      <c r="B293" s="13">
        <v>2022</v>
      </c>
      <c r="C293" s="4" t="s">
        <v>445</v>
      </c>
      <c r="D293" s="15">
        <f>IF('Dados brutos atualizados'!E413="","",'Dados brutos atualizados'!E413)</f>
        <v>2428708</v>
      </c>
      <c r="E293" s="15">
        <f>IF(D293="","",D293*'Dados brutos atualizados'!G413)</f>
        <v>2428708</v>
      </c>
      <c r="F293" s="4"/>
      <c r="G293" s="14"/>
      <c r="H293" s="14"/>
      <c r="I293" s="14"/>
      <c r="J293" s="15">
        <f>IF(D293="","",D293)</f>
        <v>2428708</v>
      </c>
      <c r="K293" s="14" t="s">
        <v>446</v>
      </c>
      <c r="L293" s="14" t="s">
        <v>510</v>
      </c>
      <c r="M293" s="18" t="s">
        <v>512</v>
      </c>
      <c r="N293" s="14" t="s">
        <v>511</v>
      </c>
    </row>
    <row r="294" spans="1:14" ht="15.75">
      <c r="A294" s="4" t="s">
        <v>117</v>
      </c>
      <c r="B294" s="13">
        <v>2022</v>
      </c>
      <c r="C294" s="4" t="s">
        <v>452</v>
      </c>
      <c r="D294" s="15">
        <f>IF('Dados brutos atualizados'!E414="","",'Dados brutos atualizados'!E414)</f>
        <v>8930251958.4300003</v>
      </c>
      <c r="E294" s="15">
        <f>IF(D294="","",D294*'Dados brutos atualizados'!G414)</f>
        <v>8930251958.4300003</v>
      </c>
      <c r="F294" s="17">
        <f>IF(E294="","",Deflatores!E10)</f>
        <v>1.1463801918918652</v>
      </c>
      <c r="G294" s="15">
        <f t="shared" ref="G294:G300" si="23">IF(OR(E294="",F294=""),"",E294*F294)</f>
        <v>10237463953.747688</v>
      </c>
      <c r="H294" s="15">
        <f>IF('Dados tratados'!E293="","",'Dados tratados'!E293)</f>
        <v>2428708</v>
      </c>
      <c r="I294" s="15">
        <f t="shared" ref="I294:I300" si="24">IF(OR(G294="",H294="",H294=0),"",G294/H294)</f>
        <v>4215.1892914865384</v>
      </c>
      <c r="J294" s="14"/>
      <c r="K294" s="14" t="s">
        <v>417</v>
      </c>
      <c r="L294" s="14" t="s">
        <v>135</v>
      </c>
      <c r="M294" s="18" t="s">
        <v>506</v>
      </c>
      <c r="N294" s="14" t="s">
        <v>455</v>
      </c>
    </row>
    <row r="295" spans="1:14" ht="15.75">
      <c r="A295" s="4" t="s">
        <v>117</v>
      </c>
      <c r="B295" s="13">
        <v>2022</v>
      </c>
      <c r="C295" s="4" t="s">
        <v>456</v>
      </c>
      <c r="D295" s="15">
        <f>IF('Dados brutos atualizados'!E415="","",'Dados brutos atualizados'!E415)</f>
        <v>8926329797.2900009</v>
      </c>
      <c r="E295" s="15">
        <f>IF(D295="","",D295*'Dados brutos atualizados'!G415)</f>
        <v>8926329797.2900009</v>
      </c>
      <c r="F295" s="17">
        <f>IF(E295="","",Deflatores!E10)</f>
        <v>1.1463801918918652</v>
      </c>
      <c r="G295" s="15">
        <f t="shared" si="23"/>
        <v>10232967665.907385</v>
      </c>
      <c r="H295" s="15">
        <f>IF('Dados tratados'!E293="","",'Dados tratados'!E293)</f>
        <v>2428708</v>
      </c>
      <c r="I295" s="15">
        <f t="shared" si="24"/>
        <v>4213.3379829552932</v>
      </c>
      <c r="J295" s="14"/>
      <c r="K295" s="14" t="s">
        <v>417</v>
      </c>
      <c r="L295" s="14" t="s">
        <v>135</v>
      </c>
      <c r="M295" s="18" t="s">
        <v>506</v>
      </c>
      <c r="N295" s="14" t="s">
        <v>459</v>
      </c>
    </row>
    <row r="296" spans="1:14" ht="15.75">
      <c r="A296" s="4" t="s">
        <v>117</v>
      </c>
      <c r="B296" s="13">
        <v>2022</v>
      </c>
      <c r="C296" s="4" t="s">
        <v>460</v>
      </c>
      <c r="D296" s="15">
        <f>IF('Dados brutos atualizados'!E416="","",'Dados brutos atualizados'!E416)</f>
        <v>10984910400.719999</v>
      </c>
      <c r="E296" s="15">
        <f>IF(D296="","",D296*'Dados brutos atualizados'!G416)</f>
        <v>10984910400.719999</v>
      </c>
      <c r="F296" s="17">
        <f>IF(E296="","",Deflatores!E10)</f>
        <v>1.1463801918918652</v>
      </c>
      <c r="G296" s="15">
        <f t="shared" si="23"/>
        <v>12592883693.092339</v>
      </c>
      <c r="H296" s="15">
        <f>IF('Dados tratados'!E293="","",'Dados tratados'!E293)</f>
        <v>2428708</v>
      </c>
      <c r="I296" s="15">
        <f t="shared" si="24"/>
        <v>5185.0134693393929</v>
      </c>
      <c r="J296" s="14"/>
      <c r="K296" s="14" t="s">
        <v>417</v>
      </c>
      <c r="L296" s="14" t="s">
        <v>135</v>
      </c>
      <c r="M296" s="18" t="s">
        <v>505</v>
      </c>
      <c r="N296" s="14" t="s">
        <v>462</v>
      </c>
    </row>
    <row r="297" spans="1:14" ht="24">
      <c r="A297" s="4" t="s">
        <v>117</v>
      </c>
      <c r="B297" s="13">
        <v>2022</v>
      </c>
      <c r="C297" s="4" t="s">
        <v>592</v>
      </c>
      <c r="D297" s="15">
        <f>IF(OR('Dados tratados'!E296="",'Dados tratados'!E286=""),"",'Dados tratados'!E296-'Dados tratados'!E286)</f>
        <v>10393403571.83</v>
      </c>
      <c r="E297" s="15">
        <f>IF(D297="","",D297)</f>
        <v>10393403571.83</v>
      </c>
      <c r="F297" s="17">
        <f>IF(E297="","",Deflatores!E10)</f>
        <v>1.1463801918918652</v>
      </c>
      <c r="G297" s="15">
        <f t="shared" si="23"/>
        <v>11914791981.084072</v>
      </c>
      <c r="H297" s="15">
        <f>IF('Dados tratados'!E293="","",'Dados tratados'!E293)</f>
        <v>2428708</v>
      </c>
      <c r="I297" s="15">
        <f t="shared" si="24"/>
        <v>4905.8149357946995</v>
      </c>
      <c r="J297" s="14"/>
      <c r="K297" s="14" t="s">
        <v>417</v>
      </c>
      <c r="L297" s="14" t="s">
        <v>593</v>
      </c>
      <c r="M297" s="18" t="s">
        <v>594</v>
      </c>
      <c r="N297" s="14" t="s">
        <v>595</v>
      </c>
    </row>
    <row r="298" spans="1:14" ht="36">
      <c r="A298" s="4" t="s">
        <v>117</v>
      </c>
      <c r="B298" s="13">
        <v>2022</v>
      </c>
      <c r="C298" s="4" t="s">
        <v>463</v>
      </c>
      <c r="D298" s="15">
        <f>IF('Dados brutos atualizados'!E417="","",'Dados brutos atualizados'!E417)</f>
        <v>3279315956.1799998</v>
      </c>
      <c r="E298" s="15">
        <f>IF(D298="","",D298*'Dados brutos atualizados'!G417)</f>
        <v>3279315956.1799998</v>
      </c>
      <c r="F298" s="17">
        <f>IF(E298="","",Deflatores!E10)</f>
        <v>1.1463801918918652</v>
      </c>
      <c r="G298" s="15">
        <f t="shared" si="23"/>
        <v>3759342855.1196837</v>
      </c>
      <c r="H298" s="15">
        <f>IF('Dados tratados'!E293="","",'Dados tratados'!E293)</f>
        <v>2428708</v>
      </c>
      <c r="I298" s="15">
        <f t="shared" si="24"/>
        <v>1547.8776596938305</v>
      </c>
      <c r="J298" s="14"/>
      <c r="K298" s="14" t="s">
        <v>417</v>
      </c>
      <c r="L298" s="14" t="s">
        <v>135</v>
      </c>
      <c r="M298" s="18" t="s">
        <v>505</v>
      </c>
      <c r="N298" s="14" t="s">
        <v>466</v>
      </c>
    </row>
    <row r="299" spans="1:14" ht="36">
      <c r="A299" s="4" t="s">
        <v>117</v>
      </c>
      <c r="B299" s="13">
        <v>2022</v>
      </c>
      <c r="C299" s="4" t="s">
        <v>467</v>
      </c>
      <c r="D299" s="15">
        <f>IF('Dados brutos atualizados'!E418="","",'Dados brutos atualizados'!E418)</f>
        <v>1725476977.4300001</v>
      </c>
      <c r="E299" s="15">
        <f>IF(D299="","",D299*'Dados brutos atualizados'!G418)</f>
        <v>1725476977.4300001</v>
      </c>
      <c r="F299" s="17">
        <f>IF(E299="","",Deflatores!E10)</f>
        <v>1.1463801918918652</v>
      </c>
      <c r="G299" s="15">
        <f t="shared" si="23"/>
        <v>1978052628.491199</v>
      </c>
      <c r="H299" s="15">
        <f>IF('Dados tratados'!E293="","",'Dados tratados'!E293)</f>
        <v>2428708</v>
      </c>
      <c r="I299" s="15">
        <f t="shared" si="24"/>
        <v>814.44645815437627</v>
      </c>
      <c r="J299" s="14"/>
      <c r="K299" s="14" t="s">
        <v>417</v>
      </c>
      <c r="L299" s="14" t="s">
        <v>135</v>
      </c>
      <c r="M299" s="18" t="s">
        <v>505</v>
      </c>
      <c r="N299" s="14" t="s">
        <v>466</v>
      </c>
    </row>
    <row r="300" spans="1:14" ht="24">
      <c r="A300" s="4" t="s">
        <v>117</v>
      </c>
      <c r="B300" s="13">
        <v>2023</v>
      </c>
      <c r="C300" s="4" t="s">
        <v>416</v>
      </c>
      <c r="D300" s="15">
        <f>IF('Dados brutos atualizados'!E419="","",'Dados brutos atualizados'!E419)</f>
        <v>3263911392.6300001</v>
      </c>
      <c r="E300" s="15">
        <f>IF(D300="","",D300*'Dados brutos atualizados'!G419)</f>
        <v>3263911392.6300001</v>
      </c>
      <c r="F300" s="17">
        <f>IF(E300="","",Deflatores!E11)</f>
        <v>1.0960332174874714</v>
      </c>
      <c r="G300" s="15">
        <f t="shared" si="23"/>
        <v>3577355305.2582726</v>
      </c>
      <c r="H300" s="15" t="str">
        <f>IF('Dados tratados'!E315="","",'Dados tratados'!E315)</f>
        <v/>
      </c>
      <c r="I300" s="15" t="str">
        <f t="shared" si="24"/>
        <v/>
      </c>
      <c r="J300" s="14"/>
      <c r="K300" s="14" t="s">
        <v>417</v>
      </c>
      <c r="L300" s="14" t="s">
        <v>135</v>
      </c>
      <c r="M300" s="18" t="s">
        <v>513</v>
      </c>
      <c r="N300" s="14" t="s">
        <v>420</v>
      </c>
    </row>
    <row r="301" spans="1:14" ht="15.75">
      <c r="A301" s="4" t="s">
        <v>117</v>
      </c>
      <c r="B301" s="13">
        <v>2023</v>
      </c>
      <c r="C301" s="4" t="s">
        <v>422</v>
      </c>
      <c r="D301" s="15">
        <f>IF('Dados brutos atualizados'!E420="","",'Dados brutos atualizados'!E420)</f>
        <v>48.38</v>
      </c>
      <c r="E301" s="15">
        <f>IF(D301="","",D301*'Dados brutos atualizados'!G420)</f>
        <v>48.38</v>
      </c>
      <c r="F301" s="4"/>
      <c r="G301" s="14"/>
      <c r="H301" s="14"/>
      <c r="I301" s="14"/>
      <c r="J301" s="15">
        <f>IF(D301="","",D301)</f>
        <v>48.38</v>
      </c>
      <c r="K301" s="14" t="s">
        <v>423</v>
      </c>
      <c r="L301" s="14" t="s">
        <v>135</v>
      </c>
      <c r="M301" s="18" t="s">
        <v>514</v>
      </c>
      <c r="N301" s="14" t="s">
        <v>426</v>
      </c>
    </row>
    <row r="302" spans="1:14" ht="24">
      <c r="A302" s="4" t="s">
        <v>117</v>
      </c>
      <c r="B302" s="13">
        <v>2023</v>
      </c>
      <c r="C302" s="4" t="s">
        <v>428</v>
      </c>
      <c r="D302" s="15">
        <f>IF('Dados brutos atualizados'!E421="","",'Dados brutos atualizados'!E421)</f>
        <v>612123657.52999997</v>
      </c>
      <c r="E302" s="15">
        <f>IF(D302="","",D302*'Dados brutos atualizados'!G421)</f>
        <v>612123657.52999997</v>
      </c>
      <c r="F302" s="17">
        <f>IF(E302="","",Deflatores!E11)</f>
        <v>1.0960332174874714</v>
      </c>
      <c r="G302" s="15">
        <f>IF(OR(E302="",F302=""),"",E302*F302)</f>
        <v>670907861.86280489</v>
      </c>
      <c r="H302" s="14"/>
      <c r="I302" s="14"/>
      <c r="J302" s="14"/>
      <c r="K302" s="14" t="s">
        <v>417</v>
      </c>
      <c r="L302" s="14" t="s">
        <v>431</v>
      </c>
      <c r="M302" s="18" t="s">
        <v>513</v>
      </c>
      <c r="N302" s="14" t="s">
        <v>432</v>
      </c>
    </row>
    <row r="303" spans="1:14" ht="15.75">
      <c r="A303" s="4" t="s">
        <v>117</v>
      </c>
      <c r="B303" s="13">
        <v>2023</v>
      </c>
      <c r="C303" s="4" t="s">
        <v>433</v>
      </c>
      <c r="D303" s="15">
        <f>IF('Dados brutos atualizados'!E422="","",'Dados brutos atualizados'!E422)</f>
        <v>12288331897.42</v>
      </c>
      <c r="E303" s="15">
        <f>IF(D303="","",D303*'Dados brutos atualizados'!G422)</f>
        <v>12288331897.42</v>
      </c>
      <c r="F303" s="17">
        <f>IF(E303="","",Deflatores!E11)</f>
        <v>1.0960332174874714</v>
      </c>
      <c r="G303" s="15">
        <f>IF(OR(E303="",F303=""),"",E303*F303)</f>
        <v>13468419947.083166</v>
      </c>
      <c r="H303" s="15" t="str">
        <f>IF('Dados tratados'!E315="","",'Dados tratados'!E315)</f>
        <v/>
      </c>
      <c r="I303" s="15" t="str">
        <f>IF(OR(G303="",H303="",H303=0),"",G303/H303)</f>
        <v/>
      </c>
      <c r="J303" s="14"/>
      <c r="K303" s="14" t="s">
        <v>417</v>
      </c>
      <c r="L303" s="14" t="s">
        <v>135</v>
      </c>
      <c r="M303" s="18" t="s">
        <v>515</v>
      </c>
      <c r="N303" s="14" t="s">
        <v>436</v>
      </c>
    </row>
    <row r="304" spans="1:14" ht="15.75">
      <c r="A304" s="4" t="s">
        <v>117</v>
      </c>
      <c r="B304" s="13">
        <v>2023</v>
      </c>
      <c r="C304" s="4" t="s">
        <v>438</v>
      </c>
      <c r="D304" s="15">
        <f>IF('Dados brutos atualizados'!E423="","",'Dados brutos atualizados'!E423)</f>
        <v>12051609892.23</v>
      </c>
      <c r="E304" s="15">
        <f>IF(D304="","",D304*'Dados brutos atualizados'!G423)</f>
        <v>12051609892.23</v>
      </c>
      <c r="F304" s="17">
        <f>IF(E304="","",Deflatores!E11)</f>
        <v>1.0960332174874714</v>
      </c>
      <c r="G304" s="15">
        <f>IF(OR(E304="",F304=""),"",E304*F304)</f>
        <v>13208964766.084684</v>
      </c>
      <c r="H304" s="15" t="str">
        <f>IF('Dados tratados'!E315="","",'Dados tratados'!E315)</f>
        <v/>
      </c>
      <c r="I304" s="15" t="str">
        <f>IF(OR(G304="",H304="",H304=0),"",G304/H304)</f>
        <v/>
      </c>
      <c r="J304" s="14"/>
      <c r="K304" s="14" t="s">
        <v>417</v>
      </c>
      <c r="L304" s="14" t="s">
        <v>135</v>
      </c>
      <c r="M304" s="18" t="s">
        <v>515</v>
      </c>
      <c r="N304" s="14" t="s">
        <v>436</v>
      </c>
    </row>
    <row r="305" spans="1:14" ht="15.75">
      <c r="A305" s="4" t="s">
        <v>117</v>
      </c>
      <c r="B305" s="13">
        <v>2023</v>
      </c>
      <c r="C305" s="4" t="s">
        <v>440</v>
      </c>
      <c r="D305" s="15">
        <f>IF('Dados brutos atualizados'!E424="","",'Dados brutos atualizados'!E424)</f>
        <v>11925079275.280001</v>
      </c>
      <c r="E305" s="15">
        <f>IF(D305="","",D305*'Dados brutos atualizados'!G424)</f>
        <v>11925079275.280001</v>
      </c>
      <c r="F305" s="17">
        <f>IF(E305="","",Deflatores!E11)</f>
        <v>1.0960332174874714</v>
      </c>
      <c r="G305" s="15">
        <f>IF(OR(E305="",F305=""),"",E305*F305)</f>
        <v>13070283006.878304</v>
      </c>
      <c r="H305" s="15" t="str">
        <f>IF('Dados tratados'!E315="","",'Dados tratados'!E315)</f>
        <v/>
      </c>
      <c r="I305" s="15" t="str">
        <f>IF(OR(G305="",H305="",H305=0),"",G305/H305)</f>
        <v/>
      </c>
      <c r="J305" s="14"/>
      <c r="K305" s="14" t="s">
        <v>417</v>
      </c>
      <c r="L305" s="14" t="s">
        <v>135</v>
      </c>
      <c r="M305" s="18" t="s">
        <v>515</v>
      </c>
      <c r="N305" s="14" t="s">
        <v>436</v>
      </c>
    </row>
    <row r="306" spans="1:14" ht="15.75">
      <c r="A306" s="4" t="s">
        <v>117</v>
      </c>
      <c r="B306" s="13">
        <v>2023</v>
      </c>
      <c r="C306" s="4" t="s">
        <v>442</v>
      </c>
      <c r="D306" s="15">
        <f>IF('Dados brutos atualizados'!E425="","",'Dados brutos atualizados'!E425)</f>
        <v>4811055780.0600004</v>
      </c>
      <c r="E306" s="15">
        <f>IF(D306="","",D306*'Dados brutos atualizados'!G425)</f>
        <v>4811055780.0600004</v>
      </c>
      <c r="F306" s="17">
        <f>IF(E306="","",Deflatores!E11)</f>
        <v>1.0960332174874714</v>
      </c>
      <c r="G306" s="15">
        <f>IF(OR(E306="",F306=""),"",E306*F306)</f>
        <v>5273076946.1308584</v>
      </c>
      <c r="H306" s="15" t="str">
        <f>IF('Dados tratados'!E315="","",'Dados tratados'!E315)</f>
        <v/>
      </c>
      <c r="I306" s="15" t="str">
        <f>IF(OR(G306="",H306="",H306=0),"",G306/H306)</f>
        <v/>
      </c>
      <c r="J306" s="14"/>
      <c r="K306" s="14" t="s">
        <v>417</v>
      </c>
      <c r="L306" s="14" t="s">
        <v>135</v>
      </c>
      <c r="M306" s="18" t="s">
        <v>514</v>
      </c>
      <c r="N306" s="14" t="s">
        <v>444</v>
      </c>
    </row>
    <row r="307" spans="1:14" ht="15.75">
      <c r="A307" s="4" t="s">
        <v>117</v>
      </c>
      <c r="B307" s="13">
        <v>2023</v>
      </c>
      <c r="C307" s="4" t="s">
        <v>374</v>
      </c>
      <c r="D307" s="15">
        <f>IF('Dados brutos atualizados'!E426="","",'Dados brutos atualizados'!E426)</f>
        <v>5.2053330000000004</v>
      </c>
      <c r="E307" s="15">
        <f>IF(D307="","",D307*'Dados brutos atualizados'!G426)</f>
        <v>5.2053330000000004</v>
      </c>
      <c r="F307" s="4"/>
      <c r="G307" s="14"/>
      <c r="H307" s="14"/>
      <c r="I307" s="14"/>
      <c r="J307" s="15">
        <f t="shared" ref="J307:J312" si="25">IF(D307="","",D307)</f>
        <v>5.2053330000000004</v>
      </c>
      <c r="K307" s="14" t="s">
        <v>375</v>
      </c>
      <c r="L307" s="14" t="s">
        <v>378</v>
      </c>
      <c r="M307" s="18" t="s">
        <v>380</v>
      </c>
      <c r="N307" s="14" t="s">
        <v>379</v>
      </c>
    </row>
    <row r="308" spans="1:14" ht="15.75">
      <c r="A308" s="4" t="s">
        <v>117</v>
      </c>
      <c r="B308" s="13">
        <v>2023</v>
      </c>
      <c r="C308" s="4" t="s">
        <v>381</v>
      </c>
      <c r="D308" s="15">
        <f>IF('Dados brutos atualizados'!E427="","",'Dados brutos atualizados'!E427)</f>
        <v>5.9454770000000003</v>
      </c>
      <c r="E308" s="15">
        <f>IF(D308="","",D308*'Dados brutos atualizados'!G427)</f>
        <v>5.9454770000000003</v>
      </c>
      <c r="F308" s="4"/>
      <c r="G308" s="14"/>
      <c r="H308" s="14"/>
      <c r="I308" s="14"/>
      <c r="J308" s="15">
        <f t="shared" si="25"/>
        <v>5.9454770000000003</v>
      </c>
      <c r="K308" s="14" t="s">
        <v>375</v>
      </c>
      <c r="L308" s="14" t="s">
        <v>378</v>
      </c>
      <c r="M308" s="18" t="s">
        <v>382</v>
      </c>
      <c r="N308" s="14" t="s">
        <v>379</v>
      </c>
    </row>
    <row r="309" spans="1:14" ht="15.75">
      <c r="A309" s="4" t="s">
        <v>117</v>
      </c>
      <c r="B309" s="13">
        <v>2023</v>
      </c>
      <c r="C309" s="4" t="s">
        <v>383</v>
      </c>
      <c r="D309" s="15">
        <f>IF('Dados brutos atualizados'!E428="","",'Dados brutos atualizados'!E428)</f>
        <v>0.98948499999999995</v>
      </c>
      <c r="E309" s="15">
        <f>IF(D309="","",D309*'Dados brutos atualizados'!G428)</f>
        <v>0.98948499999999995</v>
      </c>
      <c r="F309" s="4"/>
      <c r="G309" s="14"/>
      <c r="H309" s="14"/>
      <c r="I309" s="14"/>
      <c r="J309" s="15">
        <f t="shared" si="25"/>
        <v>0.98948499999999995</v>
      </c>
      <c r="K309" s="14" t="s">
        <v>384</v>
      </c>
      <c r="L309" s="14" t="s">
        <v>378</v>
      </c>
      <c r="M309" s="18" t="s">
        <v>380</v>
      </c>
      <c r="N309" s="14" t="s">
        <v>379</v>
      </c>
    </row>
    <row r="310" spans="1:14" ht="15.75">
      <c r="A310" s="4" t="s">
        <v>117</v>
      </c>
      <c r="B310" s="13">
        <v>2023</v>
      </c>
      <c r="C310" s="4" t="s">
        <v>386</v>
      </c>
      <c r="D310" s="15">
        <f>IF('Dados brutos atualizados'!E429="","",'Dados brutos atualizados'!E429)</f>
        <v>0.99859900000000001</v>
      </c>
      <c r="E310" s="15">
        <f>IF(D310="","",D310*'Dados brutos atualizados'!G429)</f>
        <v>0.99859900000000001</v>
      </c>
      <c r="F310" s="4"/>
      <c r="G310" s="14"/>
      <c r="H310" s="14"/>
      <c r="I310" s="14"/>
      <c r="J310" s="15">
        <f t="shared" si="25"/>
        <v>0.99859900000000001</v>
      </c>
      <c r="K310" s="14" t="s">
        <v>384</v>
      </c>
      <c r="L310" s="14" t="s">
        <v>378</v>
      </c>
      <c r="M310" s="18" t="s">
        <v>382</v>
      </c>
      <c r="N310" s="14" t="s">
        <v>379</v>
      </c>
    </row>
    <row r="311" spans="1:14" ht="24">
      <c r="A311" s="4" t="s">
        <v>117</v>
      </c>
      <c r="B311" s="13">
        <v>2023</v>
      </c>
      <c r="C311" s="4" t="s">
        <v>587</v>
      </c>
      <c r="D311" s="15">
        <f>IF(OR('Dados brutos atualizados'!E428="",'Dados brutos atualizados'!E426=""),"",'Dados brutos atualizados'!E428*'Dados brutos atualizados'!E426)</f>
        <v>5.150598923505</v>
      </c>
      <c r="E311" s="15">
        <f>IF(D311="","",D311)</f>
        <v>5.150598923505</v>
      </c>
      <c r="F311" s="4"/>
      <c r="G311" s="14"/>
      <c r="H311" s="14"/>
      <c r="I311" s="14"/>
      <c r="J311" s="15">
        <f t="shared" si="25"/>
        <v>5.150598923505</v>
      </c>
      <c r="K311" s="14" t="s">
        <v>588</v>
      </c>
      <c r="L311" s="14" t="s">
        <v>589</v>
      </c>
      <c r="M311" s="18" t="s">
        <v>380</v>
      </c>
      <c r="N311" s="14" t="s">
        <v>590</v>
      </c>
    </row>
    <row r="312" spans="1:14" ht="24">
      <c r="A312" s="4" t="s">
        <v>117</v>
      </c>
      <c r="B312" s="13">
        <v>2023</v>
      </c>
      <c r="C312" s="4" t="s">
        <v>591</v>
      </c>
      <c r="D312" s="15">
        <f>IF(OR('Dados brutos atualizados'!E429="",'Dados brutos atualizados'!E427=""),"",'Dados brutos atualizados'!E429*'Dados brutos atualizados'!E427)</f>
        <v>5.9371473867230007</v>
      </c>
      <c r="E312" s="15">
        <f>IF(D312="","",D312)</f>
        <v>5.9371473867230007</v>
      </c>
      <c r="F312" s="4"/>
      <c r="G312" s="14"/>
      <c r="H312" s="14"/>
      <c r="I312" s="14"/>
      <c r="J312" s="15">
        <f t="shared" si="25"/>
        <v>5.9371473867230007</v>
      </c>
      <c r="K312" s="14" t="s">
        <v>588</v>
      </c>
      <c r="L312" s="14" t="s">
        <v>589</v>
      </c>
      <c r="M312" s="18" t="s">
        <v>382</v>
      </c>
      <c r="N312" s="14" t="s">
        <v>590</v>
      </c>
    </row>
    <row r="313" spans="1:14" ht="24">
      <c r="A313" s="4" t="s">
        <v>117</v>
      </c>
      <c r="B313" s="13">
        <v>2023</v>
      </c>
      <c r="C313" s="4" t="s">
        <v>394</v>
      </c>
      <c r="D313" s="15">
        <f>IF('Dados brutos atualizados'!E430="","",'Dados brutos atualizados'!E430)</f>
        <v>86939831.736000001</v>
      </c>
      <c r="E313" s="15">
        <f>IF(D313="","",D313*'Dados brutos atualizados'!G430)</f>
        <v>86939831736</v>
      </c>
      <c r="F313" s="17">
        <f>IF(E313="","",Deflatores!E11)</f>
        <v>1.0960332174874714</v>
      </c>
      <c r="G313" s="15">
        <f>IF(OR(E313="",F313=""),"",E313*F313)</f>
        <v>95288943505.42746</v>
      </c>
      <c r="H313" s="15" t="str">
        <f>IF('Dados tratados'!E315="","",'Dados tratados'!E315)</f>
        <v/>
      </c>
      <c r="I313" s="15" t="str">
        <f>IF(OR(G313="",H313="",H313=0),"",G313/H313)</f>
        <v/>
      </c>
      <c r="J313" s="14"/>
      <c r="K313" s="14" t="s">
        <v>395</v>
      </c>
      <c r="L313" s="14" t="s">
        <v>135</v>
      </c>
      <c r="M313" s="18" t="s">
        <v>399</v>
      </c>
      <c r="N313" s="14" t="s">
        <v>398</v>
      </c>
    </row>
    <row r="314" spans="1:14" ht="24">
      <c r="A314" s="4" t="s">
        <v>117</v>
      </c>
      <c r="B314" s="13">
        <v>2023</v>
      </c>
      <c r="C314" s="4" t="s">
        <v>400</v>
      </c>
      <c r="D314" s="15">
        <f>IF('Dados brutos atualizados'!E431="","",'Dados brutos atualizados'!E431)</f>
        <v>35796.74</v>
      </c>
      <c r="E314" s="15">
        <f>IF(D314="","",D314*'Dados brutos atualizados'!G431)</f>
        <v>35796.74</v>
      </c>
      <c r="F314" s="17">
        <f>IF(E314="","",Deflatores!E11)</f>
        <v>1.0960332174874714</v>
      </c>
      <c r="G314" s="15">
        <f>IF(OR(E314="",F314=""),"",E314*F314)</f>
        <v>39234.416117762463</v>
      </c>
      <c r="H314" s="14"/>
      <c r="I314" s="14"/>
      <c r="J314" s="14"/>
      <c r="K314" s="14" t="s">
        <v>401</v>
      </c>
      <c r="L314" s="14" t="s">
        <v>135</v>
      </c>
      <c r="M314" s="18" t="s">
        <v>399</v>
      </c>
      <c r="N314" s="14" t="s">
        <v>404</v>
      </c>
    </row>
    <row r="315" spans="1:14" ht="15.75">
      <c r="A315" s="4" t="s">
        <v>117</v>
      </c>
      <c r="B315" s="13">
        <v>2023</v>
      </c>
      <c r="C315" s="4" t="s">
        <v>445</v>
      </c>
      <c r="D315" s="15" t="str">
        <f>IF('Dados brutos atualizados'!E432="","",'Dados brutos atualizados'!E432)</f>
        <v/>
      </c>
      <c r="E315" s="15" t="str">
        <f>IF(D315="","",D315*'Dados brutos atualizados'!G432)</f>
        <v/>
      </c>
      <c r="F315" s="4"/>
      <c r="G315" s="14"/>
      <c r="H315" s="14"/>
      <c r="I315" s="14"/>
      <c r="J315" s="15" t="str">
        <f>IF(D315="","",D315)</f>
        <v/>
      </c>
      <c r="K315" s="14" t="s">
        <v>446</v>
      </c>
      <c r="L315" s="14" t="s">
        <v>519</v>
      </c>
      <c r="M315" s="18" t="s">
        <v>451</v>
      </c>
      <c r="N315" s="14" t="s">
        <v>520</v>
      </c>
    </row>
    <row r="316" spans="1:14" ht="15.75">
      <c r="A316" s="4" t="s">
        <v>117</v>
      </c>
      <c r="B316" s="13">
        <v>2023</v>
      </c>
      <c r="C316" s="4" t="s">
        <v>452</v>
      </c>
      <c r="D316" s="15">
        <f>IF('Dados brutos atualizados'!E433="","",'Dados brutos atualizados'!E433)</f>
        <v>10110743386.450001</v>
      </c>
      <c r="E316" s="15">
        <f>IF(D316="","",D316*'Dados brutos atualizados'!G433)</f>
        <v>10110743386.450001</v>
      </c>
      <c r="F316" s="17">
        <f>IF(E316="","",Deflatores!E11)</f>
        <v>1.0960332174874714</v>
      </c>
      <c r="G316" s="15">
        <f t="shared" ref="G316:G322" si="26">IF(OR(E316="",F316=""),"",E316*F316)</f>
        <v>11081710605.040966</v>
      </c>
      <c r="H316" s="15" t="str">
        <f>IF('Dados tratados'!E315="","",'Dados tratados'!E315)</f>
        <v/>
      </c>
      <c r="I316" s="15" t="str">
        <f t="shared" ref="I316:I322" si="27">IF(OR(G316="",H316="",H316=0),"",G316/H316)</f>
        <v/>
      </c>
      <c r="J316" s="14"/>
      <c r="K316" s="14" t="s">
        <v>417</v>
      </c>
      <c r="L316" s="14" t="s">
        <v>135</v>
      </c>
      <c r="M316" s="18" t="s">
        <v>514</v>
      </c>
      <c r="N316" s="14" t="s">
        <v>455</v>
      </c>
    </row>
    <row r="317" spans="1:14" ht="15.75">
      <c r="A317" s="4" t="s">
        <v>117</v>
      </c>
      <c r="B317" s="13">
        <v>2023</v>
      </c>
      <c r="C317" s="4" t="s">
        <v>456</v>
      </c>
      <c r="D317" s="15">
        <f>IF('Dados brutos atualizados'!E434="","",'Dados brutos atualizados'!E434)</f>
        <v>9944213020.4500008</v>
      </c>
      <c r="E317" s="15">
        <f>IF(D317="","",D317*'Dados brutos atualizados'!G434)</f>
        <v>9944213020.4500008</v>
      </c>
      <c r="F317" s="17">
        <f>IF(E317="","",Deflatores!E11)</f>
        <v>1.0960332174874714</v>
      </c>
      <c r="G317" s="15">
        <f t="shared" si="26"/>
        <v>10899187792.18462</v>
      </c>
      <c r="H317" s="15" t="str">
        <f>IF('Dados tratados'!E315="","",'Dados tratados'!E315)</f>
        <v/>
      </c>
      <c r="I317" s="15" t="str">
        <f t="shared" si="27"/>
        <v/>
      </c>
      <c r="J317" s="14"/>
      <c r="K317" s="14" t="s">
        <v>417</v>
      </c>
      <c r="L317" s="14" t="s">
        <v>135</v>
      </c>
      <c r="M317" s="18" t="s">
        <v>514</v>
      </c>
      <c r="N317" s="14" t="s">
        <v>459</v>
      </c>
    </row>
    <row r="318" spans="1:14" ht="15.75">
      <c r="A318" s="4" t="s">
        <v>117</v>
      </c>
      <c r="B318" s="13">
        <v>2023</v>
      </c>
      <c r="C318" s="4" t="s">
        <v>460</v>
      </c>
      <c r="D318" s="15">
        <f>IF('Dados brutos atualizados'!E435="","",'Dados brutos atualizados'!E435)</f>
        <v>13483834203.27</v>
      </c>
      <c r="E318" s="15">
        <f>IF(D318="","",D318*'Dados brutos atualizados'!G435)</f>
        <v>13483834203.27</v>
      </c>
      <c r="F318" s="17">
        <f>IF(E318="","",Deflatores!E11)</f>
        <v>1.0960332174874714</v>
      </c>
      <c r="G318" s="15">
        <f t="shared" si="26"/>
        <v>14778730185.877634</v>
      </c>
      <c r="H318" s="15" t="str">
        <f>IF('Dados tratados'!E315="","",'Dados tratados'!E315)</f>
        <v/>
      </c>
      <c r="I318" s="15" t="str">
        <f t="shared" si="27"/>
        <v/>
      </c>
      <c r="J318" s="14"/>
      <c r="K318" s="14" t="s">
        <v>417</v>
      </c>
      <c r="L318" s="14" t="s">
        <v>135</v>
      </c>
      <c r="M318" s="18" t="s">
        <v>513</v>
      </c>
      <c r="N318" s="14" t="s">
        <v>462</v>
      </c>
    </row>
    <row r="319" spans="1:14" ht="24">
      <c r="A319" s="4" t="s">
        <v>117</v>
      </c>
      <c r="B319" s="13">
        <v>2023</v>
      </c>
      <c r="C319" s="4" t="s">
        <v>592</v>
      </c>
      <c r="D319" s="15">
        <f>IF(OR('Dados tratados'!E318="",'Dados tratados'!E302=""),"",'Dados tratados'!E318-'Dados tratados'!E302)</f>
        <v>12871710545.74</v>
      </c>
      <c r="E319" s="15">
        <f>IF(D319="","",D319)</f>
        <v>12871710545.74</v>
      </c>
      <c r="F319" s="17">
        <f>IF(E319="","",Deflatores!E11)</f>
        <v>1.0960332174874714</v>
      </c>
      <c r="G319" s="15">
        <f t="shared" si="26"/>
        <v>14107822324.014828</v>
      </c>
      <c r="H319" s="15" t="str">
        <f>IF('Dados tratados'!E315="","",'Dados tratados'!E315)</f>
        <v/>
      </c>
      <c r="I319" s="15" t="str">
        <f t="shared" si="27"/>
        <v/>
      </c>
      <c r="J319" s="14"/>
      <c r="K319" s="14" t="s">
        <v>417</v>
      </c>
      <c r="L319" s="14" t="s">
        <v>593</v>
      </c>
      <c r="M319" s="18" t="s">
        <v>594</v>
      </c>
      <c r="N319" s="14" t="s">
        <v>595</v>
      </c>
    </row>
    <row r="320" spans="1:14" ht="36">
      <c r="A320" s="4" t="s">
        <v>117</v>
      </c>
      <c r="B320" s="13">
        <v>2023</v>
      </c>
      <c r="C320" s="4" t="s">
        <v>463</v>
      </c>
      <c r="D320" s="15">
        <f>IF('Dados brutos atualizados'!E436="","",'Dados brutos atualizados'!E436)</f>
        <v>3738105916.98</v>
      </c>
      <c r="E320" s="15">
        <f>IF(D320="","",D320*'Dados brutos atualizados'!G436)</f>
        <v>3738105916.98</v>
      </c>
      <c r="F320" s="17">
        <f>IF(E320="","",Deflatores!E11)</f>
        <v>1.0960332174874714</v>
      </c>
      <c r="G320" s="15">
        <f t="shared" si="26"/>
        <v>4097088255.4965439</v>
      </c>
      <c r="H320" s="15" t="str">
        <f>IF('Dados tratados'!E315="","",'Dados tratados'!E315)</f>
        <v/>
      </c>
      <c r="I320" s="15" t="str">
        <f t="shared" si="27"/>
        <v/>
      </c>
      <c r="J320" s="14"/>
      <c r="K320" s="14" t="s">
        <v>417</v>
      </c>
      <c r="L320" s="14" t="s">
        <v>135</v>
      </c>
      <c r="M320" s="18" t="s">
        <v>513</v>
      </c>
      <c r="N320" s="14" t="s">
        <v>466</v>
      </c>
    </row>
    <row r="321" spans="1:14" ht="36">
      <c r="A321" s="4" t="s">
        <v>117</v>
      </c>
      <c r="B321" s="13">
        <v>2023</v>
      </c>
      <c r="C321" s="4" t="s">
        <v>467</v>
      </c>
      <c r="D321" s="15">
        <f>IF('Dados brutos atualizados'!E437="","",'Dados brutos atualizados'!E437)</f>
        <v>1702387435.55</v>
      </c>
      <c r="E321" s="15">
        <f>IF(D321="","",D321*'Dados brutos atualizados'!G437)</f>
        <v>1702387435.55</v>
      </c>
      <c r="F321" s="17">
        <f>IF(E321="","",Deflatores!E11)</f>
        <v>1.0960332174874714</v>
      </c>
      <c r="G321" s="15">
        <f t="shared" si="26"/>
        <v>1865873178.3961117</v>
      </c>
      <c r="H321" s="15" t="str">
        <f>IF('Dados tratados'!E315="","",'Dados tratados'!E315)</f>
        <v/>
      </c>
      <c r="I321" s="15" t="str">
        <f t="shared" si="27"/>
        <v/>
      </c>
      <c r="J321" s="14"/>
      <c r="K321" s="14" t="s">
        <v>417</v>
      </c>
      <c r="L321" s="14" t="s">
        <v>135</v>
      </c>
      <c r="M321" s="18" t="s">
        <v>513</v>
      </c>
      <c r="N321" s="14" t="s">
        <v>466</v>
      </c>
    </row>
    <row r="322" spans="1:14" ht="24">
      <c r="A322" s="4" t="s">
        <v>117</v>
      </c>
      <c r="B322" s="13">
        <v>2024</v>
      </c>
      <c r="C322" s="4" t="s">
        <v>416</v>
      </c>
      <c r="D322" s="15">
        <f>IF('Dados brutos atualizados'!E438="","",'Dados brutos atualizados'!E438)</f>
        <v>3592275195.4000001</v>
      </c>
      <c r="E322" s="15">
        <f>IF(D322="","",D322*'Dados brutos atualizados'!G438)</f>
        <v>3592275195.4000001</v>
      </c>
      <c r="F322" s="17">
        <f>IF(E322="","",Deflatores!E12)</f>
        <v>1.0501675279604847</v>
      </c>
      <c r="G322" s="15">
        <f t="shared" si="26"/>
        <v>3772490761.7069855</v>
      </c>
      <c r="H322" s="15">
        <f>IF('Dados tratados'!E329="","",'Dados tratados'!E329)</f>
        <v>2574412</v>
      </c>
      <c r="I322" s="15">
        <f t="shared" si="27"/>
        <v>1465.3795747172501</v>
      </c>
      <c r="J322" s="14"/>
      <c r="K322" s="14" t="s">
        <v>417</v>
      </c>
      <c r="L322" s="14" t="s">
        <v>135</v>
      </c>
      <c r="M322" s="18" t="s">
        <v>521</v>
      </c>
      <c r="N322" s="14" t="s">
        <v>420</v>
      </c>
    </row>
    <row r="323" spans="1:14" ht="15.75">
      <c r="A323" s="4" t="s">
        <v>117</v>
      </c>
      <c r="B323" s="13">
        <v>2024</v>
      </c>
      <c r="C323" s="4" t="s">
        <v>422</v>
      </c>
      <c r="D323" s="15">
        <f>IF('Dados brutos atualizados'!E439="","",'Dados brutos atualizados'!E439)</f>
        <v>47.87</v>
      </c>
      <c r="E323" s="15">
        <f>IF(D323="","",D323*'Dados brutos atualizados'!G439)</f>
        <v>47.87</v>
      </c>
      <c r="F323" s="4"/>
      <c r="G323" s="14"/>
      <c r="H323" s="14"/>
      <c r="I323" s="14"/>
      <c r="J323" s="15">
        <f>IF(D323="","",D323)</f>
        <v>47.87</v>
      </c>
      <c r="K323" s="14" t="s">
        <v>423</v>
      </c>
      <c r="L323" s="14" t="s">
        <v>135</v>
      </c>
      <c r="M323" s="18" t="s">
        <v>523</v>
      </c>
      <c r="N323" s="14" t="s">
        <v>426</v>
      </c>
    </row>
    <row r="324" spans="1:14" ht="24">
      <c r="A324" s="4" t="s">
        <v>117</v>
      </c>
      <c r="B324" s="13">
        <v>2024</v>
      </c>
      <c r="C324" s="4" t="s">
        <v>428</v>
      </c>
      <c r="D324" s="15">
        <f>IF('Dados brutos atualizados'!E440="","",'Dados brutos atualizados'!E440)</f>
        <v>695926548.84000003</v>
      </c>
      <c r="E324" s="15">
        <f>IF(D324="","",D324*'Dados brutos atualizados'!G440)</f>
        <v>695926548.84000003</v>
      </c>
      <c r="F324" s="17">
        <f>IF(E324="","",Deflatores!E12)</f>
        <v>1.0501675279604847</v>
      </c>
      <c r="G324" s="15">
        <f>IF(OR(E324="",F324=""),"",E324*F324)</f>
        <v>730839463.43737435</v>
      </c>
      <c r="H324" s="14"/>
      <c r="I324" s="14"/>
      <c r="J324" s="14"/>
      <c r="K324" s="14" t="s">
        <v>417</v>
      </c>
      <c r="L324" s="14" t="s">
        <v>431</v>
      </c>
      <c r="M324" s="18" t="s">
        <v>521</v>
      </c>
      <c r="N324" s="14" t="s">
        <v>432</v>
      </c>
    </row>
    <row r="325" spans="1:14" ht="15.75">
      <c r="A325" s="4" t="s">
        <v>117</v>
      </c>
      <c r="B325" s="13">
        <v>2024</v>
      </c>
      <c r="C325" s="4" t="s">
        <v>433</v>
      </c>
      <c r="D325" s="15">
        <f>IF('Dados brutos atualizados'!E441="","",'Dados brutos atualizados'!E441)</f>
        <v>14265420925.860001</v>
      </c>
      <c r="E325" s="15">
        <f>IF(D325="","",D325*'Dados brutos atualizados'!G441)</f>
        <v>14265420925.860001</v>
      </c>
      <c r="F325" s="17">
        <f>IF(E325="","",Deflatores!E12)</f>
        <v>1.0501675279604847</v>
      </c>
      <c r="G325" s="15">
        <f>IF(OR(E325="",F325=""),"",E325*F325)</f>
        <v>14981081829.026167</v>
      </c>
      <c r="H325" s="15">
        <f>IF('Dados tratados'!E329="","",'Dados tratados'!E329)</f>
        <v>2574412</v>
      </c>
      <c r="I325" s="15">
        <f>IF(OR(G325="",H325="",H325=0),"",G325/H325)</f>
        <v>5819.2246730617189</v>
      </c>
      <c r="J325" s="14"/>
      <c r="K325" s="14" t="s">
        <v>417</v>
      </c>
      <c r="L325" s="14" t="s">
        <v>135</v>
      </c>
      <c r="M325" s="18" t="s">
        <v>524</v>
      </c>
      <c r="N325" s="14" t="s">
        <v>436</v>
      </c>
    </row>
    <row r="326" spans="1:14" ht="15.75">
      <c r="A326" s="4" t="s">
        <v>117</v>
      </c>
      <c r="B326" s="13">
        <v>2024</v>
      </c>
      <c r="C326" s="4" t="s">
        <v>438</v>
      </c>
      <c r="D326" s="15">
        <f>IF('Dados brutos atualizados'!E442="","",'Dados brutos atualizados'!E442)</f>
        <v>13951885712.370001</v>
      </c>
      <c r="E326" s="15">
        <f>IF(D326="","",D326*'Dados brutos atualizados'!G442)</f>
        <v>13951885712.370001</v>
      </c>
      <c r="F326" s="17">
        <f>IF(E326="","",Deflatores!E12)</f>
        <v>1.0501675279604847</v>
      </c>
      <c r="G326" s="15">
        <f>IF(OR(E326="",F326=""),"",E326*F326)</f>
        <v>14651817328.94681</v>
      </c>
      <c r="H326" s="15">
        <f>IF('Dados tratados'!E329="","",'Dados tratados'!E329)</f>
        <v>2574412</v>
      </c>
      <c r="I326" s="15">
        <f>IF(OR(G326="",H326="",H326=0),"",G326/H326)</f>
        <v>5691.325758638015</v>
      </c>
      <c r="J326" s="14"/>
      <c r="K326" s="14" t="s">
        <v>417</v>
      </c>
      <c r="L326" s="14" t="s">
        <v>135</v>
      </c>
      <c r="M326" s="18" t="s">
        <v>524</v>
      </c>
      <c r="N326" s="14" t="s">
        <v>436</v>
      </c>
    </row>
    <row r="327" spans="1:14" ht="15.75">
      <c r="A327" s="4" t="s">
        <v>117</v>
      </c>
      <c r="B327" s="13">
        <v>2024</v>
      </c>
      <c r="C327" s="4" t="s">
        <v>440</v>
      </c>
      <c r="D327" s="15">
        <f>IF('Dados brutos atualizados'!E443="","",'Dados brutos atualizados'!E443)</f>
        <v>13914972736.219999</v>
      </c>
      <c r="E327" s="15">
        <f>IF(D327="","",D327*'Dados brutos atualizados'!G443)</f>
        <v>13914972736.219999</v>
      </c>
      <c r="F327" s="17">
        <f>IF(E327="","",Deflatores!E12)</f>
        <v>1.0501675279604847</v>
      </c>
      <c r="G327" s="15">
        <f>IF(OR(E327="",F327=""),"",E327*F327)</f>
        <v>14613052520.033699</v>
      </c>
      <c r="H327" s="15">
        <f>IF('Dados tratados'!E329="","",'Dados tratados'!E329)</f>
        <v>2574412</v>
      </c>
      <c r="I327" s="15">
        <f>IF(OR(G327="",H327="",H327=0),"",G327/H327)</f>
        <v>5676.2680254884217</v>
      </c>
      <c r="J327" s="14"/>
      <c r="K327" s="14" t="s">
        <v>417</v>
      </c>
      <c r="L327" s="14" t="s">
        <v>135</v>
      </c>
      <c r="M327" s="18" t="s">
        <v>524</v>
      </c>
      <c r="N327" s="14" t="s">
        <v>436</v>
      </c>
    </row>
    <row r="328" spans="1:14" ht="15.75">
      <c r="A328" s="4" t="s">
        <v>117</v>
      </c>
      <c r="B328" s="13">
        <v>2024</v>
      </c>
      <c r="C328" s="4" t="s">
        <v>442</v>
      </c>
      <c r="D328" s="15">
        <f>IF('Dados brutos atualizados'!E444="","",'Dados brutos atualizados'!E444)</f>
        <v>5400177822.1700001</v>
      </c>
      <c r="E328" s="15">
        <f>IF(D328="","",D328*'Dados brutos atualizados'!G444)</f>
        <v>5400177822.1700001</v>
      </c>
      <c r="F328" s="17">
        <f>IF(E328="","",Deflatores!E12)</f>
        <v>1.0501675279604847</v>
      </c>
      <c r="G328" s="15">
        <f>IF(OR(E328="",F328=""),"",E328*F328)</f>
        <v>5671091394.0553036</v>
      </c>
      <c r="H328" s="15">
        <f>IF('Dados tratados'!E329="","",'Dados tratados'!E329)</f>
        <v>2574412</v>
      </c>
      <c r="I328" s="15">
        <f>IF(OR(G328="",H328="",H328=0),"",G328/H328)</f>
        <v>2202.868613903021</v>
      </c>
      <c r="J328" s="14"/>
      <c r="K328" s="14" t="s">
        <v>417</v>
      </c>
      <c r="L328" s="14" t="s">
        <v>135</v>
      </c>
      <c r="M328" s="18" t="s">
        <v>523</v>
      </c>
      <c r="N328" s="14" t="s">
        <v>444</v>
      </c>
    </row>
    <row r="329" spans="1:14" ht="15.75">
      <c r="A329" s="4" t="s">
        <v>117</v>
      </c>
      <c r="B329" s="13">
        <v>2024</v>
      </c>
      <c r="C329" s="4" t="s">
        <v>445</v>
      </c>
      <c r="D329" s="15">
        <f>IF('Dados brutos atualizados'!E445="","",'Dados brutos atualizados'!E445)</f>
        <v>2574412</v>
      </c>
      <c r="E329" s="15">
        <f>IF(D329="","",D329*'Dados brutos atualizados'!G445)</f>
        <v>2574412</v>
      </c>
      <c r="F329" s="4"/>
      <c r="G329" s="14"/>
      <c r="H329" s="14"/>
      <c r="I329" s="14"/>
      <c r="J329" s="15">
        <f>IF(D329="","",D329)</f>
        <v>2574412</v>
      </c>
      <c r="K329" s="14" t="s">
        <v>446</v>
      </c>
      <c r="L329" s="14" t="s">
        <v>449</v>
      </c>
      <c r="M329" s="18" t="s">
        <v>451</v>
      </c>
      <c r="N329" s="14" t="s">
        <v>450</v>
      </c>
    </row>
    <row r="330" spans="1:14" ht="15.75">
      <c r="A330" s="4" t="s">
        <v>117</v>
      </c>
      <c r="B330" s="13">
        <v>2024</v>
      </c>
      <c r="C330" s="4" t="s">
        <v>452</v>
      </c>
      <c r="D330" s="15">
        <f>IF('Dados brutos atualizados'!E446="","",'Dados brutos atualizados'!E446)</f>
        <v>11438382522.360001</v>
      </c>
      <c r="E330" s="15">
        <f>IF(D330="","",D330*'Dados brutos atualizados'!G446)</f>
        <v>11438382522.360001</v>
      </c>
      <c r="F330" s="17">
        <f>IF(E330="","",Deflatores!E12)</f>
        <v>1.0501675279604847</v>
      </c>
      <c r="G330" s="15">
        <f t="shared" ref="G330:G336" si="28">IF(OR(E330="",F330=""),"",E330*F330)</f>
        <v>12012217897.373217</v>
      </c>
      <c r="H330" s="15">
        <f>IF('Dados tratados'!E329="","",'Dados tratados'!E329)</f>
        <v>2574412</v>
      </c>
      <c r="I330" s="15">
        <f t="shared" ref="I330:I336" si="29">IF(OR(G330="",H330="",H330=0),"",G330/H330)</f>
        <v>4666.0044691266266</v>
      </c>
      <c r="J330" s="14"/>
      <c r="K330" s="14" t="s">
        <v>417</v>
      </c>
      <c r="L330" s="14" t="s">
        <v>135</v>
      </c>
      <c r="M330" s="18" t="s">
        <v>523</v>
      </c>
      <c r="N330" s="14" t="s">
        <v>455</v>
      </c>
    </row>
    <row r="331" spans="1:14" ht="15.75">
      <c r="A331" s="4" t="s">
        <v>117</v>
      </c>
      <c r="B331" s="13">
        <v>2024</v>
      </c>
      <c r="C331" s="4" t="s">
        <v>456</v>
      </c>
      <c r="D331" s="15">
        <f>IF('Dados brutos atualizados'!E447="","",'Dados brutos atualizados'!E447)</f>
        <v>11280131752.360001</v>
      </c>
      <c r="E331" s="15">
        <f>IF(D331="","",D331*'Dados brutos atualizados'!G447)</f>
        <v>11280131752.360001</v>
      </c>
      <c r="F331" s="17">
        <f>IF(E331="","",Deflatores!E12)</f>
        <v>1.0501675279604847</v>
      </c>
      <c r="G331" s="15">
        <f t="shared" si="28"/>
        <v>11846028077.444473</v>
      </c>
      <c r="H331" s="15">
        <f>IF('Dados tratados'!E329="","",'Dados tratados'!E329)</f>
        <v>2574412</v>
      </c>
      <c r="I331" s="15">
        <f t="shared" si="29"/>
        <v>4601.4499922485111</v>
      </c>
      <c r="J331" s="14"/>
      <c r="K331" s="14" t="s">
        <v>417</v>
      </c>
      <c r="L331" s="14" t="s">
        <v>135</v>
      </c>
      <c r="M331" s="18" t="s">
        <v>523</v>
      </c>
      <c r="N331" s="14" t="s">
        <v>459</v>
      </c>
    </row>
    <row r="332" spans="1:14" ht="15.75">
      <c r="A332" s="4" t="s">
        <v>117</v>
      </c>
      <c r="B332" s="13">
        <v>2024</v>
      </c>
      <c r="C332" s="4" t="s">
        <v>460</v>
      </c>
      <c r="D332" s="15">
        <f>IF('Dados brutos atualizados'!E448="","",'Dados brutos atualizados'!E448)</f>
        <v>14142951126.709999</v>
      </c>
      <c r="E332" s="15">
        <f>IF(D332="","",D332*'Dados brutos atualizados'!G448)</f>
        <v>14142951126.709999</v>
      </c>
      <c r="F332" s="17">
        <f>IF(E332="","",Deflatores!E12)</f>
        <v>1.0501675279604847</v>
      </c>
      <c r="G332" s="15">
        <f t="shared" si="28"/>
        <v>14852468022.802992</v>
      </c>
      <c r="H332" s="15">
        <f>IF('Dados tratados'!E329="","",'Dados tratados'!E329)</f>
        <v>2574412</v>
      </c>
      <c r="I332" s="15">
        <f t="shared" si="29"/>
        <v>5769.2661558456812</v>
      </c>
      <c r="J332" s="14"/>
      <c r="K332" s="14" t="s">
        <v>417</v>
      </c>
      <c r="L332" s="14" t="s">
        <v>135</v>
      </c>
      <c r="M332" s="18" t="s">
        <v>521</v>
      </c>
      <c r="N332" s="14" t="s">
        <v>462</v>
      </c>
    </row>
    <row r="333" spans="1:14" ht="24">
      <c r="A333" s="4" t="s">
        <v>117</v>
      </c>
      <c r="B333" s="13">
        <v>2024</v>
      </c>
      <c r="C333" s="4" t="s">
        <v>592</v>
      </c>
      <c r="D333" s="15">
        <f>IF(OR('Dados tratados'!E332="",'Dados tratados'!E324=""),"",'Dados tratados'!E332-'Dados tratados'!E324)</f>
        <v>13447024577.869999</v>
      </c>
      <c r="E333" s="15">
        <f>IF(D333="","",D333)</f>
        <v>13447024577.869999</v>
      </c>
      <c r="F333" s="17">
        <f>IF(E333="","",Deflatores!E12)</f>
        <v>1.0501675279604847</v>
      </c>
      <c r="G333" s="15">
        <f t="shared" si="28"/>
        <v>14121628559.365618</v>
      </c>
      <c r="H333" s="15">
        <f>IF('Dados tratados'!E329="","",'Dados tratados'!E329)</f>
        <v>2574412</v>
      </c>
      <c r="I333" s="15">
        <f t="shared" si="29"/>
        <v>5485.3801797713877</v>
      </c>
      <c r="J333" s="14"/>
      <c r="K333" s="14" t="s">
        <v>417</v>
      </c>
      <c r="L333" s="14" t="s">
        <v>593</v>
      </c>
      <c r="M333" s="18" t="s">
        <v>594</v>
      </c>
      <c r="N333" s="14" t="s">
        <v>595</v>
      </c>
    </row>
    <row r="334" spans="1:14" ht="36">
      <c r="A334" s="4" t="s">
        <v>117</v>
      </c>
      <c r="B334" s="13">
        <v>2024</v>
      </c>
      <c r="C334" s="4" t="s">
        <v>463</v>
      </c>
      <c r="D334" s="15">
        <f>IF('Dados brutos atualizados'!E449="","",'Dados brutos atualizados'!E449)</f>
        <v>4284578277.0999999</v>
      </c>
      <c r="E334" s="15">
        <f>IF(D334="","",D334*'Dados brutos atualizados'!G449)</f>
        <v>4284578277.0999999</v>
      </c>
      <c r="F334" s="17">
        <f>IF(E334="","",Deflatores!E12)</f>
        <v>1.0501675279604847</v>
      </c>
      <c r="G334" s="15">
        <f t="shared" si="28"/>
        <v>4499524977.6152992</v>
      </c>
      <c r="H334" s="15">
        <f>IF('Dados tratados'!E329="","",'Dados tratados'!E329)</f>
        <v>2574412</v>
      </c>
      <c r="I334" s="15">
        <f t="shared" si="29"/>
        <v>1747.7874472366113</v>
      </c>
      <c r="J334" s="14"/>
      <c r="K334" s="14" t="s">
        <v>417</v>
      </c>
      <c r="L334" s="14" t="s">
        <v>135</v>
      </c>
      <c r="M334" s="18" t="s">
        <v>521</v>
      </c>
      <c r="N334" s="14" t="s">
        <v>466</v>
      </c>
    </row>
    <row r="335" spans="1:14" ht="36">
      <c r="A335" s="4" t="s">
        <v>117</v>
      </c>
      <c r="B335" s="13">
        <v>2024</v>
      </c>
      <c r="C335" s="4" t="s">
        <v>467</v>
      </c>
      <c r="D335" s="15">
        <f>IF('Dados brutos atualizados'!E450="","",'Dados brutos atualizados'!E450)</f>
        <v>1886123196.9300001</v>
      </c>
      <c r="E335" s="15">
        <f>IF(D335="","",D335*'Dados brutos atualizados'!G450)</f>
        <v>1886123196.9300001</v>
      </c>
      <c r="F335" s="17">
        <f>IF(E335="","",Deflatores!E12)</f>
        <v>1.0501675279604847</v>
      </c>
      <c r="G335" s="15">
        <f t="shared" si="28"/>
        <v>1980745335.1489048</v>
      </c>
      <c r="H335" s="15">
        <f>IF('Dados tratados'!E329="","",'Dados tratados'!E329)</f>
        <v>2574412</v>
      </c>
      <c r="I335" s="15">
        <f t="shared" si="29"/>
        <v>769.39718085096899</v>
      </c>
      <c r="J335" s="14"/>
      <c r="K335" s="14" t="s">
        <v>417</v>
      </c>
      <c r="L335" s="14" t="s">
        <v>135</v>
      </c>
      <c r="M335" s="18" t="s">
        <v>521</v>
      </c>
      <c r="N335" s="14" t="s">
        <v>466</v>
      </c>
    </row>
    <row r="336" spans="1:14" ht="24">
      <c r="A336" s="4" t="s">
        <v>117</v>
      </c>
      <c r="B336" s="13">
        <v>2025</v>
      </c>
      <c r="C336" s="4" t="s">
        <v>416</v>
      </c>
      <c r="D336" s="15">
        <f>IF('Dados brutos atualizados'!E451="","",'Dados brutos atualizados'!E451)</f>
        <v>3739860959.79</v>
      </c>
      <c r="E336" s="15">
        <f>IF(D336="","",D336*'Dados brutos atualizados'!G451)</f>
        <v>3739860959.79</v>
      </c>
      <c r="F336" s="17">
        <f>IF(E336="","",Deflatores!E13)</f>
        <v>1</v>
      </c>
      <c r="G336" s="15">
        <f t="shared" si="28"/>
        <v>3739860959.79</v>
      </c>
      <c r="H336" s="15">
        <f>IF('Dados tratados'!E349="","",'Dados tratados'!E349)</f>
        <v>2578483</v>
      </c>
      <c r="I336" s="15">
        <f t="shared" si="29"/>
        <v>1450.4113309220963</v>
      </c>
      <c r="J336" s="14"/>
      <c r="K336" s="14" t="s">
        <v>417</v>
      </c>
      <c r="L336" s="14" t="s">
        <v>135</v>
      </c>
      <c r="M336" s="18" t="s">
        <v>527</v>
      </c>
      <c r="N336" s="14" t="s">
        <v>420</v>
      </c>
    </row>
    <row r="337" spans="1:14" ht="15.75">
      <c r="A337" s="4" t="s">
        <v>117</v>
      </c>
      <c r="B337" s="13">
        <v>2025</v>
      </c>
      <c r="C337" s="4" t="s">
        <v>422</v>
      </c>
      <c r="D337" s="15">
        <f>IF('Dados brutos atualizados'!E452="","",'Dados brutos atualizados'!E452)</f>
        <v>46.54</v>
      </c>
      <c r="E337" s="15">
        <f>IF(D337="","",D337*'Dados brutos atualizados'!G452)</f>
        <v>46.54</v>
      </c>
      <c r="F337" s="4"/>
      <c r="G337" s="14"/>
      <c r="H337" s="14"/>
      <c r="I337" s="14"/>
      <c r="J337" s="15">
        <f>IF(D337="","",D337)</f>
        <v>46.54</v>
      </c>
      <c r="K337" s="14" t="s">
        <v>423</v>
      </c>
      <c r="L337" s="14" t="s">
        <v>135</v>
      </c>
      <c r="M337" s="18" t="s">
        <v>528</v>
      </c>
      <c r="N337" s="14" t="s">
        <v>426</v>
      </c>
    </row>
    <row r="338" spans="1:14" ht="24">
      <c r="A338" s="4" t="s">
        <v>117</v>
      </c>
      <c r="B338" s="13">
        <v>2025</v>
      </c>
      <c r="C338" s="4" t="s">
        <v>428</v>
      </c>
      <c r="D338" s="15">
        <f>IF('Dados brutos atualizados'!E453="","",'Dados brutos atualizados'!E453)</f>
        <v>738193102.39999998</v>
      </c>
      <c r="E338" s="15">
        <f>IF(D338="","",D338*'Dados brutos atualizados'!G453)</f>
        <v>738193102.39999998</v>
      </c>
      <c r="F338" s="17">
        <f>IF(E338="","",Deflatores!E13)</f>
        <v>1</v>
      </c>
      <c r="G338" s="15">
        <f>IF(OR(E338="",F338=""),"",E338*F338)</f>
        <v>738193102.39999998</v>
      </c>
      <c r="H338" s="14"/>
      <c r="I338" s="14"/>
      <c r="J338" s="14"/>
      <c r="K338" s="14" t="s">
        <v>417</v>
      </c>
      <c r="L338" s="14" t="s">
        <v>431</v>
      </c>
      <c r="M338" s="18" t="s">
        <v>527</v>
      </c>
      <c r="N338" s="14" t="s">
        <v>432</v>
      </c>
    </row>
    <row r="339" spans="1:14" ht="15.75">
      <c r="A339" s="4" t="s">
        <v>117</v>
      </c>
      <c r="B339" s="13">
        <v>2025</v>
      </c>
      <c r="C339" s="4" t="s">
        <v>433</v>
      </c>
      <c r="D339" s="15">
        <f>IF('Dados brutos atualizados'!E454="","",'Dados brutos atualizados'!E454)</f>
        <v>13965276937.07</v>
      </c>
      <c r="E339" s="15">
        <f>IF(D339="","",D339*'Dados brutos atualizados'!G454)</f>
        <v>13965276937.07</v>
      </c>
      <c r="F339" s="17">
        <f>IF(E339="","",Deflatores!E13)</f>
        <v>1</v>
      </c>
      <c r="G339" s="15">
        <f>IF(OR(E339="",F339=""),"",E339*F339)</f>
        <v>13965276937.07</v>
      </c>
      <c r="H339" s="15">
        <f>IF('Dados tratados'!E349="","",'Dados tratados'!E349)</f>
        <v>2578483</v>
      </c>
      <c r="I339" s="15">
        <f>IF(OR(G339="",H339="",H339=0),"",G339/H339)</f>
        <v>5416.0826102285719</v>
      </c>
      <c r="J339" s="14"/>
      <c r="K339" s="14" t="s">
        <v>417</v>
      </c>
      <c r="L339" s="14" t="s">
        <v>135</v>
      </c>
      <c r="M339" s="18" t="s">
        <v>529</v>
      </c>
      <c r="N339" s="14" t="s">
        <v>436</v>
      </c>
    </row>
    <row r="340" spans="1:14" ht="15.75">
      <c r="A340" s="4" t="s">
        <v>117</v>
      </c>
      <c r="B340" s="13">
        <v>2025</v>
      </c>
      <c r="C340" s="4" t="s">
        <v>438</v>
      </c>
      <c r="D340" s="15">
        <f>IF('Dados brutos atualizados'!E455="","",'Dados brutos atualizados'!E455)</f>
        <v>13789180284.92</v>
      </c>
      <c r="E340" s="15">
        <f>IF(D340="","",D340*'Dados brutos atualizados'!G455)</f>
        <v>13789180284.92</v>
      </c>
      <c r="F340" s="17">
        <f>IF(E340="","",Deflatores!E13)</f>
        <v>1</v>
      </c>
      <c r="G340" s="15">
        <f>IF(OR(E340="",F340=""),"",E340*F340)</f>
        <v>13789180284.92</v>
      </c>
      <c r="H340" s="15">
        <f>IF('Dados tratados'!E349="","",'Dados tratados'!E349)</f>
        <v>2578483</v>
      </c>
      <c r="I340" s="15">
        <f>IF(OR(G340="",H340="",H340=0),"",G340/H340)</f>
        <v>5347.7879376827386</v>
      </c>
      <c r="J340" s="14"/>
      <c r="K340" s="14" t="s">
        <v>417</v>
      </c>
      <c r="L340" s="14" t="s">
        <v>135</v>
      </c>
      <c r="M340" s="18" t="s">
        <v>529</v>
      </c>
      <c r="N340" s="14" t="s">
        <v>436</v>
      </c>
    </row>
    <row r="341" spans="1:14" ht="15.75">
      <c r="A341" s="4" t="s">
        <v>117</v>
      </c>
      <c r="B341" s="13">
        <v>2025</v>
      </c>
      <c r="C341" s="4" t="s">
        <v>440</v>
      </c>
      <c r="D341" s="15">
        <f>IF('Dados brutos atualizados'!E456="","",'Dados brutos atualizados'!E456)</f>
        <v>13760843623.280001</v>
      </c>
      <c r="E341" s="15">
        <f>IF(D341="","",D341*'Dados brutos atualizados'!G456)</f>
        <v>13760843623.280001</v>
      </c>
      <c r="F341" s="17">
        <f>IF(E341="","",Deflatores!E13)</f>
        <v>1</v>
      </c>
      <c r="G341" s="15">
        <f>IF(OR(E341="",F341=""),"",E341*F341)</f>
        <v>13760843623.280001</v>
      </c>
      <c r="H341" s="15">
        <f>IF('Dados tratados'!E349="","",'Dados tratados'!E349)</f>
        <v>2578483</v>
      </c>
      <c r="I341" s="15">
        <f>IF(OR(G341="",H341="",H341=0),"",G341/H341)</f>
        <v>5336.7982737446791</v>
      </c>
      <c r="J341" s="14"/>
      <c r="K341" s="14" t="s">
        <v>417</v>
      </c>
      <c r="L341" s="14" t="s">
        <v>135</v>
      </c>
      <c r="M341" s="18" t="s">
        <v>529</v>
      </c>
      <c r="N341" s="14" t="s">
        <v>436</v>
      </c>
    </row>
    <row r="342" spans="1:14" ht="15.75">
      <c r="A342" s="4" t="s">
        <v>117</v>
      </c>
      <c r="B342" s="13">
        <v>2025</v>
      </c>
      <c r="C342" s="4" t="s">
        <v>442</v>
      </c>
      <c r="D342" s="15">
        <f>IF('Dados brutos atualizados'!E457="","",'Dados brutos atualizados'!E457)</f>
        <v>5714235305.7799997</v>
      </c>
      <c r="E342" s="15">
        <f>IF(D342="","",D342*'Dados brutos atualizados'!G457)</f>
        <v>5714235305.7799997</v>
      </c>
      <c r="F342" s="17">
        <f>IF(E342="","",Deflatores!E13)</f>
        <v>1</v>
      </c>
      <c r="G342" s="15">
        <f>IF(OR(E342="",F342=""),"",E342*F342)</f>
        <v>5714235305.7799997</v>
      </c>
      <c r="H342" s="15">
        <f>IF('Dados tratados'!E349="","",'Dados tratados'!E349)</f>
        <v>2578483</v>
      </c>
      <c r="I342" s="15">
        <f>IF(OR(G342="",H342="",H342=0),"",G342/H342)</f>
        <v>2216.1229318866945</v>
      </c>
      <c r="J342" s="14"/>
      <c r="K342" s="14" t="s">
        <v>417</v>
      </c>
      <c r="L342" s="14" t="s">
        <v>135</v>
      </c>
      <c r="M342" s="18" t="s">
        <v>528</v>
      </c>
      <c r="N342" s="14" t="s">
        <v>444</v>
      </c>
    </row>
    <row r="343" spans="1:14" ht="15.75">
      <c r="A343" s="4" t="s">
        <v>117</v>
      </c>
      <c r="B343" s="13">
        <v>2025</v>
      </c>
      <c r="C343" s="4" t="s">
        <v>374</v>
      </c>
      <c r="D343" s="15">
        <f>IF('Dados brutos atualizados'!E458="","",'Dados brutos atualizados'!E458)</f>
        <v>5.2101670000000002</v>
      </c>
      <c r="E343" s="15">
        <f>IF(D343="","",D343*'Dados brutos atualizados'!G458)</f>
        <v>5.2101670000000002</v>
      </c>
      <c r="F343" s="4"/>
      <c r="G343" s="14"/>
      <c r="H343" s="14"/>
      <c r="I343" s="14"/>
      <c r="J343" s="15">
        <f t="shared" ref="J343:J349" si="30">IF(D343="","",D343)</f>
        <v>5.2101670000000002</v>
      </c>
      <c r="K343" s="14" t="s">
        <v>375</v>
      </c>
      <c r="L343" s="14" t="s">
        <v>378</v>
      </c>
      <c r="M343" s="18" t="s">
        <v>380</v>
      </c>
      <c r="N343" s="14" t="s">
        <v>379</v>
      </c>
    </row>
    <row r="344" spans="1:14" ht="15.75">
      <c r="A344" s="4" t="s">
        <v>117</v>
      </c>
      <c r="B344" s="13">
        <v>2025</v>
      </c>
      <c r="C344" s="4" t="s">
        <v>381</v>
      </c>
      <c r="D344" s="15">
        <f>IF('Dados brutos atualizados'!E459="","",'Dados brutos atualizados'!E459)</f>
        <v>6.110665</v>
      </c>
      <c r="E344" s="15">
        <f>IF(D344="","",D344*'Dados brutos atualizados'!G459)</f>
        <v>6.110665</v>
      </c>
      <c r="F344" s="4"/>
      <c r="G344" s="14"/>
      <c r="H344" s="14"/>
      <c r="I344" s="14"/>
      <c r="J344" s="15">
        <f t="shared" si="30"/>
        <v>6.110665</v>
      </c>
      <c r="K344" s="14" t="s">
        <v>375</v>
      </c>
      <c r="L344" s="14" t="s">
        <v>378</v>
      </c>
      <c r="M344" s="18" t="s">
        <v>382</v>
      </c>
      <c r="N344" s="14" t="s">
        <v>379</v>
      </c>
    </row>
    <row r="345" spans="1:14" ht="15.75">
      <c r="A345" s="4" t="s">
        <v>117</v>
      </c>
      <c r="B345" s="13">
        <v>2025</v>
      </c>
      <c r="C345" s="4" t="s">
        <v>383</v>
      </c>
      <c r="D345" s="15">
        <f>IF('Dados brutos atualizados'!E460="","",'Dados brutos atualizados'!E460)</f>
        <v>0.99199099999999996</v>
      </c>
      <c r="E345" s="15">
        <f>IF(D345="","",D345*'Dados brutos atualizados'!G460)</f>
        <v>0.99199099999999996</v>
      </c>
      <c r="F345" s="4"/>
      <c r="G345" s="14"/>
      <c r="H345" s="14"/>
      <c r="I345" s="14"/>
      <c r="J345" s="15">
        <f t="shared" si="30"/>
        <v>0.99199099999999996</v>
      </c>
      <c r="K345" s="14" t="s">
        <v>384</v>
      </c>
      <c r="L345" s="14" t="s">
        <v>378</v>
      </c>
      <c r="M345" s="18" t="s">
        <v>380</v>
      </c>
      <c r="N345" s="14" t="s">
        <v>379</v>
      </c>
    </row>
    <row r="346" spans="1:14" ht="15.75">
      <c r="A346" s="4" t="s">
        <v>117</v>
      </c>
      <c r="B346" s="13">
        <v>2025</v>
      </c>
      <c r="C346" s="4" t="s">
        <v>386</v>
      </c>
      <c r="D346" s="15">
        <f>IF('Dados brutos atualizados'!E461="","",'Dados brutos atualizados'!E461)</f>
        <v>0.99839900000000004</v>
      </c>
      <c r="E346" s="15">
        <f>IF(D346="","",D346*'Dados brutos atualizados'!G461)</f>
        <v>0.99839900000000004</v>
      </c>
      <c r="F346" s="4"/>
      <c r="G346" s="14"/>
      <c r="H346" s="14"/>
      <c r="I346" s="14"/>
      <c r="J346" s="15">
        <f t="shared" si="30"/>
        <v>0.99839900000000004</v>
      </c>
      <c r="K346" s="14" t="s">
        <v>384</v>
      </c>
      <c r="L346" s="14" t="s">
        <v>378</v>
      </c>
      <c r="M346" s="18" t="s">
        <v>382</v>
      </c>
      <c r="N346" s="14" t="s">
        <v>379</v>
      </c>
    </row>
    <row r="347" spans="1:14" ht="24">
      <c r="A347" s="4" t="s">
        <v>117</v>
      </c>
      <c r="B347" s="13">
        <v>2025</v>
      </c>
      <c r="C347" s="4" t="s">
        <v>587</v>
      </c>
      <c r="D347" s="15">
        <f>IF(OR('Dados brutos atualizados'!E460="",'Dados brutos atualizados'!E458=""),"",'Dados brutos atualizados'!E460*'Dados brutos atualizados'!E458)</f>
        <v>5.1684387724969998</v>
      </c>
      <c r="E347" s="15">
        <f>IF(D347="","",D347)</f>
        <v>5.1684387724969998</v>
      </c>
      <c r="F347" s="4"/>
      <c r="G347" s="14"/>
      <c r="H347" s="14"/>
      <c r="I347" s="14"/>
      <c r="J347" s="15">
        <f t="shared" si="30"/>
        <v>5.1684387724969998</v>
      </c>
      <c r="K347" s="14" t="s">
        <v>588</v>
      </c>
      <c r="L347" s="14" t="s">
        <v>589</v>
      </c>
      <c r="M347" s="18" t="s">
        <v>380</v>
      </c>
      <c r="N347" s="14" t="s">
        <v>590</v>
      </c>
    </row>
    <row r="348" spans="1:14" ht="24">
      <c r="A348" s="4" t="s">
        <v>117</v>
      </c>
      <c r="B348" s="13">
        <v>2025</v>
      </c>
      <c r="C348" s="4" t="s">
        <v>591</v>
      </c>
      <c r="D348" s="15">
        <f>IF(OR('Dados brutos atualizados'!E461="",'Dados brutos atualizados'!E459=""),"",'Dados brutos atualizados'!E461*'Dados brutos atualizados'!E459)</f>
        <v>6.1008818253350006</v>
      </c>
      <c r="E348" s="15">
        <f>IF(D348="","",D348)</f>
        <v>6.1008818253350006</v>
      </c>
      <c r="F348" s="4"/>
      <c r="G348" s="14"/>
      <c r="H348" s="14"/>
      <c r="I348" s="14"/>
      <c r="J348" s="15">
        <f t="shared" si="30"/>
        <v>6.1008818253350006</v>
      </c>
      <c r="K348" s="14" t="s">
        <v>588</v>
      </c>
      <c r="L348" s="14" t="s">
        <v>589</v>
      </c>
      <c r="M348" s="18" t="s">
        <v>382</v>
      </c>
      <c r="N348" s="14" t="s">
        <v>590</v>
      </c>
    </row>
    <row r="349" spans="1:14" ht="15.75">
      <c r="A349" s="4" t="s">
        <v>117</v>
      </c>
      <c r="B349" s="13">
        <v>2025</v>
      </c>
      <c r="C349" s="4" t="s">
        <v>445</v>
      </c>
      <c r="D349" s="15">
        <f>IF('Dados brutos atualizados'!E462="","",'Dados brutos atualizados'!E462)</f>
        <v>2578483</v>
      </c>
      <c r="E349" s="15">
        <f>IF(D349="","",D349*'Dados brutos atualizados'!G462)</f>
        <v>2578483</v>
      </c>
      <c r="F349" s="4"/>
      <c r="G349" s="14"/>
      <c r="H349" s="14"/>
      <c r="I349" s="14"/>
      <c r="J349" s="15">
        <f t="shared" si="30"/>
        <v>2578483</v>
      </c>
      <c r="K349" s="14" t="s">
        <v>446</v>
      </c>
      <c r="L349" s="14" t="s">
        <v>449</v>
      </c>
      <c r="M349" s="18" t="s">
        <v>451</v>
      </c>
      <c r="N349" s="14" t="s">
        <v>450</v>
      </c>
    </row>
    <row r="350" spans="1:14" ht="15.75">
      <c r="A350" s="4" t="s">
        <v>117</v>
      </c>
      <c r="B350" s="13">
        <v>2025</v>
      </c>
      <c r="C350" s="4" t="s">
        <v>452</v>
      </c>
      <c r="D350" s="15">
        <f>IF('Dados brutos atualizados'!E463="","",'Dados brutos atualizados'!E463)</f>
        <v>12539078077.42</v>
      </c>
      <c r="E350" s="15">
        <f>IF(D350="","",D350*'Dados brutos atualizados'!G463)</f>
        <v>12539078077.42</v>
      </c>
      <c r="F350" s="17">
        <f>IF(E350="","",Deflatores!E13)</f>
        <v>1</v>
      </c>
      <c r="G350" s="15">
        <f t="shared" ref="G350:G355" si="31">IF(OR(E350="",F350=""),"",E350*F350)</f>
        <v>12539078077.42</v>
      </c>
      <c r="H350" s="15">
        <f>IF('Dados tratados'!E349="","",'Dados tratados'!E349)</f>
        <v>2578483</v>
      </c>
      <c r="I350" s="15">
        <f t="shared" ref="I350:I355" si="32">IF(OR(G350="",H350="",H350=0),"",G350/H350)</f>
        <v>4862.9671312240571</v>
      </c>
      <c r="J350" s="14"/>
      <c r="K350" s="14" t="s">
        <v>417</v>
      </c>
      <c r="L350" s="14" t="s">
        <v>135</v>
      </c>
      <c r="M350" s="18" t="s">
        <v>528</v>
      </c>
      <c r="N350" s="14" t="s">
        <v>455</v>
      </c>
    </row>
    <row r="351" spans="1:14" ht="15.75">
      <c r="A351" s="4" t="s">
        <v>117</v>
      </c>
      <c r="B351" s="13">
        <v>2025</v>
      </c>
      <c r="C351" s="4" t="s">
        <v>456</v>
      </c>
      <c r="D351" s="15">
        <f>IF('Dados brutos atualizados'!E464="","",'Dados brutos atualizados'!E464)</f>
        <v>12278246349.6</v>
      </c>
      <c r="E351" s="15">
        <f>IF(D351="","",D351*'Dados brutos atualizados'!G464)</f>
        <v>12278246349.6</v>
      </c>
      <c r="F351" s="17">
        <f>IF(E351="","",Deflatores!E13)</f>
        <v>1</v>
      </c>
      <c r="G351" s="15">
        <f t="shared" si="31"/>
        <v>12278246349.6</v>
      </c>
      <c r="H351" s="15">
        <f>IF('Dados tratados'!E349="","",'Dados tratados'!E349)</f>
        <v>2578483</v>
      </c>
      <c r="I351" s="15">
        <f t="shared" si="32"/>
        <v>4761.8100835258565</v>
      </c>
      <c r="J351" s="14"/>
      <c r="K351" s="14" t="s">
        <v>417</v>
      </c>
      <c r="L351" s="14" t="s">
        <v>135</v>
      </c>
      <c r="M351" s="18" t="s">
        <v>528</v>
      </c>
      <c r="N351" s="14" t="s">
        <v>459</v>
      </c>
    </row>
    <row r="352" spans="1:14" ht="15.75">
      <c r="A352" s="4" t="s">
        <v>117</v>
      </c>
      <c r="B352" s="13">
        <v>2025</v>
      </c>
      <c r="C352" s="4" t="s">
        <v>460</v>
      </c>
      <c r="D352" s="15">
        <f>IF('Dados brutos atualizados'!E465="","",'Dados brutos atualizados'!E465)</f>
        <v>15325827755.68</v>
      </c>
      <c r="E352" s="15">
        <f>IF(D352="","",D352*'Dados brutos atualizados'!G465)</f>
        <v>15325827755.68</v>
      </c>
      <c r="F352" s="17">
        <f>IF(E352="","",Deflatores!E13)</f>
        <v>1</v>
      </c>
      <c r="G352" s="15">
        <f t="shared" si="31"/>
        <v>15325827755.68</v>
      </c>
      <c r="H352" s="15">
        <f>IF('Dados tratados'!E349="","",'Dados tratados'!E349)</f>
        <v>2578483</v>
      </c>
      <c r="I352" s="15">
        <f t="shared" si="32"/>
        <v>5943.7381420315742</v>
      </c>
      <c r="J352" s="14"/>
      <c r="K352" s="14" t="s">
        <v>417</v>
      </c>
      <c r="L352" s="14" t="s">
        <v>135</v>
      </c>
      <c r="M352" s="18" t="s">
        <v>527</v>
      </c>
      <c r="N352" s="14" t="s">
        <v>462</v>
      </c>
    </row>
    <row r="353" spans="1:14" ht="24">
      <c r="A353" s="4" t="s">
        <v>117</v>
      </c>
      <c r="B353" s="13">
        <v>2025</v>
      </c>
      <c r="C353" s="4" t="s">
        <v>592</v>
      </c>
      <c r="D353" s="15">
        <f>IF(OR('Dados tratados'!E352="",'Dados tratados'!E338=""),"",'Dados tratados'!E352-'Dados tratados'!E338)</f>
        <v>14587634653.280001</v>
      </c>
      <c r="E353" s="15">
        <f>IF(D353="","",D353)</f>
        <v>14587634653.280001</v>
      </c>
      <c r="F353" s="17">
        <f>IF(E353="","",Deflatores!E13)</f>
        <v>1</v>
      </c>
      <c r="G353" s="15">
        <f t="shared" si="31"/>
        <v>14587634653.280001</v>
      </c>
      <c r="H353" s="15">
        <f>IF('Dados tratados'!E349="","",'Dados tratados'!E349)</f>
        <v>2578483</v>
      </c>
      <c r="I353" s="15">
        <f t="shared" si="32"/>
        <v>5657.4484506122399</v>
      </c>
      <c r="J353" s="14"/>
      <c r="K353" s="14" t="s">
        <v>417</v>
      </c>
      <c r="L353" s="14" t="s">
        <v>593</v>
      </c>
      <c r="M353" s="18" t="s">
        <v>594</v>
      </c>
      <c r="N353" s="14" t="s">
        <v>595</v>
      </c>
    </row>
    <row r="354" spans="1:14" ht="36">
      <c r="A354" s="4" t="s">
        <v>117</v>
      </c>
      <c r="B354" s="13">
        <v>2025</v>
      </c>
      <c r="C354" s="4" t="s">
        <v>463</v>
      </c>
      <c r="D354" s="15">
        <f>IF('Dados brutos atualizados'!E466="","",'Dados brutos atualizados'!E466)</f>
        <v>4999148127.9799995</v>
      </c>
      <c r="E354" s="15">
        <f>IF(D354="","",D354*'Dados brutos atualizados'!G466)</f>
        <v>4999148127.9799995</v>
      </c>
      <c r="F354" s="17">
        <f>IF(E354="","",Deflatores!E13)</f>
        <v>1</v>
      </c>
      <c r="G354" s="15">
        <f t="shared" si="31"/>
        <v>4999148127.9799995</v>
      </c>
      <c r="H354" s="15">
        <f>IF('Dados tratados'!E349="","",'Dados tratados'!E349)</f>
        <v>2578483</v>
      </c>
      <c r="I354" s="15">
        <f t="shared" si="32"/>
        <v>1938.7942941566803</v>
      </c>
      <c r="J354" s="14"/>
      <c r="K354" s="14" t="s">
        <v>417</v>
      </c>
      <c r="L354" s="14" t="s">
        <v>135</v>
      </c>
      <c r="M354" s="18" t="s">
        <v>527</v>
      </c>
      <c r="N354" s="14" t="s">
        <v>466</v>
      </c>
    </row>
    <row r="355" spans="1:14" ht="36">
      <c r="A355" s="4" t="s">
        <v>117</v>
      </c>
      <c r="B355" s="13">
        <v>2025</v>
      </c>
      <c r="C355" s="4" t="s">
        <v>467</v>
      </c>
      <c r="D355" s="15">
        <f>IF('Dados brutos atualizados'!E467="","",'Dados brutos atualizados'!E467)</f>
        <v>2017594590.46</v>
      </c>
      <c r="E355" s="15">
        <f>IF(D355="","",D355*'Dados brutos atualizados'!G467)</f>
        <v>2017594590.46</v>
      </c>
      <c r="F355" s="17">
        <f>IF(E355="","",Deflatores!E13)</f>
        <v>1</v>
      </c>
      <c r="G355" s="15">
        <f t="shared" si="31"/>
        <v>2017594590.46</v>
      </c>
      <c r="H355" s="15">
        <f>IF('Dados tratados'!E349="","",'Dados tratados'!E349)</f>
        <v>2578483</v>
      </c>
      <c r="I355" s="15">
        <f t="shared" si="32"/>
        <v>782.47348943545489</v>
      </c>
      <c r="J355" s="14"/>
      <c r="K355" s="14" t="s">
        <v>417</v>
      </c>
      <c r="L355" s="14" t="s">
        <v>135</v>
      </c>
      <c r="M355" s="18" t="s">
        <v>527</v>
      </c>
      <c r="N355" s="14" t="s">
        <v>466</v>
      </c>
    </row>
    <row r="356" spans="1:14" ht="24">
      <c r="A356" s="4" t="s">
        <v>117</v>
      </c>
      <c r="B356" s="13">
        <v>2026</v>
      </c>
      <c r="C356" s="4" t="s">
        <v>445</v>
      </c>
      <c r="D356" s="15">
        <f>IF('Dados brutos atualizados'!E468="","",'Dados brutos atualizados'!E468)</f>
        <v>2582360</v>
      </c>
      <c r="E356" s="15">
        <f>IF(D356="","",D356*'Dados brutos atualizados'!G468)</f>
        <v>2582360</v>
      </c>
      <c r="F356" s="4"/>
      <c r="G356" s="14"/>
      <c r="H356" s="14"/>
      <c r="I356" s="14"/>
      <c r="J356" s="15">
        <f t="shared" ref="J356:J374" si="33">IF(D356="","",D356)</f>
        <v>2582360</v>
      </c>
      <c r="K356" s="14" t="s">
        <v>446</v>
      </c>
      <c r="L356" s="14" t="s">
        <v>535</v>
      </c>
      <c r="M356" s="18" t="s">
        <v>512</v>
      </c>
      <c r="N356" s="14" t="s">
        <v>536</v>
      </c>
    </row>
    <row r="357" spans="1:14" ht="15.75">
      <c r="A357" s="4" t="s">
        <v>118</v>
      </c>
      <c r="B357" s="13">
        <v>2005</v>
      </c>
      <c r="C357" s="4" t="s">
        <v>374</v>
      </c>
      <c r="D357" s="15">
        <f>IF('Dados brutos atualizados'!E469="","",'Dados brutos atualizados'!E469)</f>
        <v>4.220167</v>
      </c>
      <c r="E357" s="15">
        <f>IF(D357="","",D357*'Dados brutos atualizados'!G469)</f>
        <v>4.220167</v>
      </c>
      <c r="F357" s="4"/>
      <c r="G357" s="14"/>
      <c r="H357" s="14"/>
      <c r="I357" s="14"/>
      <c r="J357" s="15">
        <f t="shared" si="33"/>
        <v>4.220167</v>
      </c>
      <c r="K357" s="14" t="s">
        <v>375</v>
      </c>
      <c r="L357" s="14" t="s">
        <v>378</v>
      </c>
      <c r="M357" s="18" t="s">
        <v>380</v>
      </c>
      <c r="N357" s="14" t="s">
        <v>379</v>
      </c>
    </row>
    <row r="358" spans="1:14" ht="15.75">
      <c r="A358" s="4" t="s">
        <v>118</v>
      </c>
      <c r="B358" s="13">
        <v>2005</v>
      </c>
      <c r="C358" s="4" t="s">
        <v>381</v>
      </c>
      <c r="D358" s="15">
        <f>IF('Dados brutos atualizados'!E470="","",'Dados brutos atualizados'!E470)</f>
        <v>4.2264369999999998</v>
      </c>
      <c r="E358" s="15">
        <f>IF(D358="","",D358*'Dados brutos atualizados'!G470)</f>
        <v>4.2264369999999998</v>
      </c>
      <c r="F358" s="4"/>
      <c r="G358" s="14"/>
      <c r="H358" s="14"/>
      <c r="I358" s="14"/>
      <c r="J358" s="15">
        <f t="shared" si="33"/>
        <v>4.2264369999999998</v>
      </c>
      <c r="K358" s="14" t="s">
        <v>375</v>
      </c>
      <c r="L358" s="14" t="s">
        <v>378</v>
      </c>
      <c r="M358" s="18" t="s">
        <v>382</v>
      </c>
      <c r="N358" s="14" t="s">
        <v>379</v>
      </c>
    </row>
    <row r="359" spans="1:14" ht="15.75">
      <c r="A359" s="4" t="s">
        <v>118</v>
      </c>
      <c r="B359" s="13">
        <v>2005</v>
      </c>
      <c r="C359" s="4" t="s">
        <v>383</v>
      </c>
      <c r="D359" s="15">
        <f>IF('Dados brutos atualizados'!E471="","",'Dados brutos atualizados'!E471)</f>
        <v>0.73037300000000005</v>
      </c>
      <c r="E359" s="15">
        <f>IF(D359="","",D359*'Dados brutos atualizados'!G471)</f>
        <v>0.73037300000000005</v>
      </c>
      <c r="F359" s="4"/>
      <c r="G359" s="14"/>
      <c r="H359" s="14"/>
      <c r="I359" s="14"/>
      <c r="J359" s="15">
        <f t="shared" si="33"/>
        <v>0.73037300000000005</v>
      </c>
      <c r="K359" s="14" t="s">
        <v>384</v>
      </c>
      <c r="L359" s="14" t="s">
        <v>378</v>
      </c>
      <c r="M359" s="18" t="s">
        <v>380</v>
      </c>
      <c r="N359" s="14" t="s">
        <v>379</v>
      </c>
    </row>
    <row r="360" spans="1:14" ht="15.75">
      <c r="A360" s="4" t="s">
        <v>118</v>
      </c>
      <c r="B360" s="13">
        <v>2005</v>
      </c>
      <c r="C360" s="4" t="s">
        <v>386</v>
      </c>
      <c r="D360" s="15">
        <f>IF('Dados brutos atualizados'!E472="","",'Dados brutos atualizados'!E472)</f>
        <v>0.78340600000000005</v>
      </c>
      <c r="E360" s="15">
        <f>IF(D360="","",D360*'Dados brutos atualizados'!G472)</f>
        <v>0.78340600000000005</v>
      </c>
      <c r="F360" s="4"/>
      <c r="G360" s="14"/>
      <c r="H360" s="14"/>
      <c r="I360" s="14"/>
      <c r="J360" s="15">
        <f t="shared" si="33"/>
        <v>0.78340600000000005</v>
      </c>
      <c r="K360" s="14" t="s">
        <v>384</v>
      </c>
      <c r="L360" s="14" t="s">
        <v>378</v>
      </c>
      <c r="M360" s="18" t="s">
        <v>382</v>
      </c>
      <c r="N360" s="14" t="s">
        <v>379</v>
      </c>
    </row>
    <row r="361" spans="1:14" ht="24">
      <c r="A361" s="4" t="s">
        <v>118</v>
      </c>
      <c r="B361" s="13">
        <v>2005</v>
      </c>
      <c r="C361" s="4" t="s">
        <v>587</v>
      </c>
      <c r="D361" s="15">
        <f>IF(OR('Dados brutos atualizados'!E471="",'Dados brutos atualizados'!E469=""),"",'Dados brutos atualizados'!E471*'Dados brutos atualizados'!E469)</f>
        <v>3.082296032291</v>
      </c>
      <c r="E361" s="15">
        <f>IF(D361="","",D361)</f>
        <v>3.082296032291</v>
      </c>
      <c r="F361" s="4"/>
      <c r="G361" s="14"/>
      <c r="H361" s="14"/>
      <c r="I361" s="14"/>
      <c r="J361" s="15">
        <f t="shared" si="33"/>
        <v>3.082296032291</v>
      </c>
      <c r="K361" s="14" t="s">
        <v>588</v>
      </c>
      <c r="L361" s="14" t="s">
        <v>589</v>
      </c>
      <c r="M361" s="18" t="s">
        <v>380</v>
      </c>
      <c r="N361" s="14" t="s">
        <v>590</v>
      </c>
    </row>
    <row r="362" spans="1:14" ht="24">
      <c r="A362" s="4" t="s">
        <v>118</v>
      </c>
      <c r="B362" s="13">
        <v>2005</v>
      </c>
      <c r="C362" s="4" t="s">
        <v>591</v>
      </c>
      <c r="D362" s="15">
        <f>IF(OR('Dados brutos atualizados'!E472="",'Dados brutos atualizados'!E470=""),"",'Dados brutos atualizados'!E472*'Dados brutos atualizados'!E470)</f>
        <v>3.3110161044219999</v>
      </c>
      <c r="E362" s="15">
        <f>IF(D362="","",D362)</f>
        <v>3.3110161044219999</v>
      </c>
      <c r="F362" s="4"/>
      <c r="G362" s="14"/>
      <c r="H362" s="14"/>
      <c r="I362" s="14"/>
      <c r="J362" s="15">
        <f t="shared" si="33"/>
        <v>3.3110161044219999</v>
      </c>
      <c r="K362" s="14" t="s">
        <v>588</v>
      </c>
      <c r="L362" s="14" t="s">
        <v>589</v>
      </c>
      <c r="M362" s="18" t="s">
        <v>382</v>
      </c>
      <c r="N362" s="14" t="s">
        <v>590</v>
      </c>
    </row>
    <row r="363" spans="1:14" ht="15.75">
      <c r="A363" s="4" t="s">
        <v>118</v>
      </c>
      <c r="B363" s="13">
        <v>2007</v>
      </c>
      <c r="C363" s="4" t="s">
        <v>374</v>
      </c>
      <c r="D363" s="15">
        <f>IF('Dados brutos atualizados'!E473="","",'Dados brutos atualizados'!E473)</f>
        <v>4.1046670000000001</v>
      </c>
      <c r="E363" s="15">
        <f>IF(D363="","",D363*'Dados brutos atualizados'!G473)</f>
        <v>4.1046670000000001</v>
      </c>
      <c r="F363" s="4"/>
      <c r="G363" s="14"/>
      <c r="H363" s="14"/>
      <c r="I363" s="14"/>
      <c r="J363" s="15">
        <f t="shared" si="33"/>
        <v>4.1046670000000001</v>
      </c>
      <c r="K363" s="14" t="s">
        <v>375</v>
      </c>
      <c r="L363" s="14" t="s">
        <v>378</v>
      </c>
      <c r="M363" s="18" t="s">
        <v>380</v>
      </c>
      <c r="N363" s="14" t="s">
        <v>379</v>
      </c>
    </row>
    <row r="364" spans="1:14" ht="15.75">
      <c r="A364" s="4" t="s">
        <v>118</v>
      </c>
      <c r="B364" s="13">
        <v>2007</v>
      </c>
      <c r="C364" s="4" t="s">
        <v>381</v>
      </c>
      <c r="D364" s="15">
        <f>IF('Dados brutos atualizados'!E474="","",'Dados brutos atualizados'!E474)</f>
        <v>4.3145439999999997</v>
      </c>
      <c r="E364" s="15">
        <f>IF(D364="","",D364*'Dados brutos atualizados'!G474)</f>
        <v>4.3145439999999997</v>
      </c>
      <c r="F364" s="4"/>
      <c r="G364" s="14"/>
      <c r="H364" s="14"/>
      <c r="I364" s="14"/>
      <c r="J364" s="15">
        <f t="shared" si="33"/>
        <v>4.3145439999999997</v>
      </c>
      <c r="K364" s="14" t="s">
        <v>375</v>
      </c>
      <c r="L364" s="14" t="s">
        <v>378</v>
      </c>
      <c r="M364" s="18" t="s">
        <v>382</v>
      </c>
      <c r="N364" s="14" t="s">
        <v>379</v>
      </c>
    </row>
    <row r="365" spans="1:14" ht="15.75">
      <c r="A365" s="4" t="s">
        <v>118</v>
      </c>
      <c r="B365" s="13">
        <v>2007</v>
      </c>
      <c r="C365" s="4" t="s">
        <v>383</v>
      </c>
      <c r="D365" s="15">
        <f>IF('Dados brutos atualizados'!E475="","",'Dados brutos atualizados'!E475)</f>
        <v>0.79240600000000005</v>
      </c>
      <c r="E365" s="15">
        <f>IF(D365="","",D365*'Dados brutos atualizados'!G475)</f>
        <v>0.79240600000000005</v>
      </c>
      <c r="F365" s="4"/>
      <c r="G365" s="14"/>
      <c r="H365" s="14"/>
      <c r="I365" s="14"/>
      <c r="J365" s="15">
        <f t="shared" si="33"/>
        <v>0.79240600000000005</v>
      </c>
      <c r="K365" s="14" t="s">
        <v>384</v>
      </c>
      <c r="L365" s="14" t="s">
        <v>378</v>
      </c>
      <c r="M365" s="18" t="s">
        <v>380</v>
      </c>
      <c r="N365" s="14" t="s">
        <v>379</v>
      </c>
    </row>
    <row r="366" spans="1:14" ht="15.75">
      <c r="A366" s="4" t="s">
        <v>118</v>
      </c>
      <c r="B366" s="13">
        <v>2007</v>
      </c>
      <c r="C366" s="4" t="s">
        <v>386</v>
      </c>
      <c r="D366" s="15">
        <f>IF('Dados brutos atualizados'!E476="","",'Dados brutos atualizados'!E476)</f>
        <v>0.85284199999999999</v>
      </c>
      <c r="E366" s="15">
        <f>IF(D366="","",D366*'Dados brutos atualizados'!G476)</f>
        <v>0.85284199999999999</v>
      </c>
      <c r="F366" s="4"/>
      <c r="G366" s="14"/>
      <c r="H366" s="14"/>
      <c r="I366" s="14"/>
      <c r="J366" s="15">
        <f t="shared" si="33"/>
        <v>0.85284199999999999</v>
      </c>
      <c r="K366" s="14" t="s">
        <v>384</v>
      </c>
      <c r="L366" s="14" t="s">
        <v>378</v>
      </c>
      <c r="M366" s="18" t="s">
        <v>382</v>
      </c>
      <c r="N366" s="14" t="s">
        <v>379</v>
      </c>
    </row>
    <row r="367" spans="1:14" ht="24">
      <c r="A367" s="4" t="s">
        <v>118</v>
      </c>
      <c r="B367" s="13">
        <v>2007</v>
      </c>
      <c r="C367" s="4" t="s">
        <v>587</v>
      </c>
      <c r="D367" s="15">
        <f>IF(OR('Dados brutos atualizados'!E475="",'Dados brutos atualizados'!E473=""),"",'Dados brutos atualizados'!E475*'Dados brutos atualizados'!E473)</f>
        <v>3.2525627588020001</v>
      </c>
      <c r="E367" s="15">
        <f>IF(D367="","",D367)</f>
        <v>3.2525627588020001</v>
      </c>
      <c r="F367" s="4"/>
      <c r="G367" s="14"/>
      <c r="H367" s="14"/>
      <c r="I367" s="14"/>
      <c r="J367" s="15">
        <f t="shared" si="33"/>
        <v>3.2525627588020001</v>
      </c>
      <c r="K367" s="14" t="s">
        <v>588</v>
      </c>
      <c r="L367" s="14" t="s">
        <v>589</v>
      </c>
      <c r="M367" s="18" t="s">
        <v>380</v>
      </c>
      <c r="N367" s="14" t="s">
        <v>590</v>
      </c>
    </row>
    <row r="368" spans="1:14" ht="24">
      <c r="A368" s="4" t="s">
        <v>118</v>
      </c>
      <c r="B368" s="13">
        <v>2007</v>
      </c>
      <c r="C368" s="4" t="s">
        <v>591</v>
      </c>
      <c r="D368" s="15">
        <f>IF(OR('Dados brutos atualizados'!E476="",'Dados brutos atualizados'!E474=""),"",'Dados brutos atualizados'!E476*'Dados brutos atualizados'!E474)</f>
        <v>3.6796243340479995</v>
      </c>
      <c r="E368" s="15">
        <f>IF(D368="","",D368)</f>
        <v>3.6796243340479995</v>
      </c>
      <c r="F368" s="4"/>
      <c r="G368" s="14"/>
      <c r="H368" s="14"/>
      <c r="I368" s="14"/>
      <c r="J368" s="15">
        <f t="shared" si="33"/>
        <v>3.6796243340479995</v>
      </c>
      <c r="K368" s="14" t="s">
        <v>588</v>
      </c>
      <c r="L368" s="14" t="s">
        <v>589</v>
      </c>
      <c r="M368" s="18" t="s">
        <v>382</v>
      </c>
      <c r="N368" s="14" t="s">
        <v>590</v>
      </c>
    </row>
    <row r="369" spans="1:14" ht="15.75">
      <c r="A369" s="4" t="s">
        <v>118</v>
      </c>
      <c r="B369" s="13">
        <v>2009</v>
      </c>
      <c r="C369" s="4" t="s">
        <v>374</v>
      </c>
      <c r="D369" s="15">
        <f>IF('Dados brutos atualizados'!E477="","",'Dados brutos atualizados'!E477)</f>
        <v>4.3876670000000004</v>
      </c>
      <c r="E369" s="15">
        <f>IF(D369="","",D369*'Dados brutos atualizados'!G477)</f>
        <v>4.3876670000000004</v>
      </c>
      <c r="F369" s="4"/>
      <c r="G369" s="14"/>
      <c r="H369" s="14"/>
      <c r="I369" s="14"/>
      <c r="J369" s="15">
        <f t="shared" si="33"/>
        <v>4.3876670000000004</v>
      </c>
      <c r="K369" s="14" t="s">
        <v>375</v>
      </c>
      <c r="L369" s="14" t="s">
        <v>378</v>
      </c>
      <c r="M369" s="18" t="s">
        <v>380</v>
      </c>
      <c r="N369" s="14" t="s">
        <v>379</v>
      </c>
    </row>
    <row r="370" spans="1:14" ht="15.75">
      <c r="A370" s="4" t="s">
        <v>118</v>
      </c>
      <c r="B370" s="13">
        <v>2009</v>
      </c>
      <c r="C370" s="4" t="s">
        <v>381</v>
      </c>
      <c r="D370" s="15">
        <f>IF('Dados brutos atualizados'!E478="","",'Dados brutos atualizados'!E478)</f>
        <v>4.4536990000000003</v>
      </c>
      <c r="E370" s="15">
        <f>IF(D370="","",D370*'Dados brutos atualizados'!G478)</f>
        <v>4.4536990000000003</v>
      </c>
      <c r="F370" s="4"/>
      <c r="G370" s="14"/>
      <c r="H370" s="14"/>
      <c r="I370" s="14"/>
      <c r="J370" s="15">
        <f t="shared" si="33"/>
        <v>4.4536990000000003</v>
      </c>
      <c r="K370" s="14" t="s">
        <v>375</v>
      </c>
      <c r="L370" s="14" t="s">
        <v>378</v>
      </c>
      <c r="M370" s="18" t="s">
        <v>382</v>
      </c>
      <c r="N370" s="14" t="s">
        <v>379</v>
      </c>
    </row>
    <row r="371" spans="1:14" ht="15.75">
      <c r="A371" s="4" t="s">
        <v>118</v>
      </c>
      <c r="B371" s="13">
        <v>2009</v>
      </c>
      <c r="C371" s="4" t="s">
        <v>383</v>
      </c>
      <c r="D371" s="15">
        <f>IF('Dados brutos atualizados'!E479="","",'Dados brutos atualizados'!E479)</f>
        <v>0.79591699999999999</v>
      </c>
      <c r="E371" s="15">
        <f>IF(D371="","",D371*'Dados brutos atualizados'!G479)</f>
        <v>0.79591699999999999</v>
      </c>
      <c r="F371" s="4"/>
      <c r="G371" s="14"/>
      <c r="H371" s="14"/>
      <c r="I371" s="14"/>
      <c r="J371" s="15">
        <f t="shared" si="33"/>
        <v>0.79591699999999999</v>
      </c>
      <c r="K371" s="14" t="s">
        <v>384</v>
      </c>
      <c r="L371" s="14" t="s">
        <v>378</v>
      </c>
      <c r="M371" s="18" t="s">
        <v>380</v>
      </c>
      <c r="N371" s="14" t="s">
        <v>379</v>
      </c>
    </row>
    <row r="372" spans="1:14" ht="15.75">
      <c r="A372" s="4" t="s">
        <v>118</v>
      </c>
      <c r="B372" s="13">
        <v>2009</v>
      </c>
      <c r="C372" s="4" t="s">
        <v>386</v>
      </c>
      <c r="D372" s="15">
        <f>IF('Dados brutos atualizados'!E480="","",'Dados brutos atualizados'!E480)</f>
        <v>0.872112</v>
      </c>
      <c r="E372" s="15">
        <f>IF(D372="","",D372*'Dados brutos atualizados'!G480)</f>
        <v>0.872112</v>
      </c>
      <c r="F372" s="4"/>
      <c r="G372" s="14"/>
      <c r="H372" s="14"/>
      <c r="I372" s="14"/>
      <c r="J372" s="15">
        <f t="shared" si="33"/>
        <v>0.872112</v>
      </c>
      <c r="K372" s="14" t="s">
        <v>384</v>
      </c>
      <c r="L372" s="14" t="s">
        <v>378</v>
      </c>
      <c r="M372" s="18" t="s">
        <v>382</v>
      </c>
      <c r="N372" s="14" t="s">
        <v>379</v>
      </c>
    </row>
    <row r="373" spans="1:14" ht="24">
      <c r="A373" s="4" t="s">
        <v>118</v>
      </c>
      <c r="B373" s="13">
        <v>2009</v>
      </c>
      <c r="C373" s="4" t="s">
        <v>587</v>
      </c>
      <c r="D373" s="15">
        <f>IF(OR('Dados brutos atualizados'!E479="",'Dados brutos atualizados'!E477=""),"",'Dados brutos atualizados'!E479*'Dados brutos atualizados'!E477)</f>
        <v>3.4922187556390001</v>
      </c>
      <c r="E373" s="15">
        <f>IF(D373="","",D373)</f>
        <v>3.4922187556390001</v>
      </c>
      <c r="F373" s="4"/>
      <c r="G373" s="14"/>
      <c r="H373" s="14"/>
      <c r="I373" s="14"/>
      <c r="J373" s="15">
        <f t="shared" si="33"/>
        <v>3.4922187556390001</v>
      </c>
      <c r="K373" s="14" t="s">
        <v>588</v>
      </c>
      <c r="L373" s="14" t="s">
        <v>589</v>
      </c>
      <c r="M373" s="18" t="s">
        <v>380</v>
      </c>
      <c r="N373" s="14" t="s">
        <v>590</v>
      </c>
    </row>
    <row r="374" spans="1:14" ht="24">
      <c r="A374" s="4" t="s">
        <v>118</v>
      </c>
      <c r="B374" s="13">
        <v>2009</v>
      </c>
      <c r="C374" s="4" t="s">
        <v>591</v>
      </c>
      <c r="D374" s="15">
        <f>IF(OR('Dados brutos atualizados'!E480="",'Dados brutos atualizados'!E478=""),"",'Dados brutos atualizados'!E480*'Dados brutos atualizados'!E478)</f>
        <v>3.8841243422880001</v>
      </c>
      <c r="E374" s="15">
        <f>IF(D374="","",D374)</f>
        <v>3.8841243422880001</v>
      </c>
      <c r="F374" s="4"/>
      <c r="G374" s="14"/>
      <c r="H374" s="14"/>
      <c r="I374" s="14"/>
      <c r="J374" s="15">
        <f t="shared" si="33"/>
        <v>3.8841243422880001</v>
      </c>
      <c r="K374" s="14" t="s">
        <v>588</v>
      </c>
      <c r="L374" s="14" t="s">
        <v>589</v>
      </c>
      <c r="M374" s="18" t="s">
        <v>382</v>
      </c>
      <c r="N374" s="14" t="s">
        <v>590</v>
      </c>
    </row>
    <row r="375" spans="1:14" ht="24">
      <c r="A375" s="4" t="s">
        <v>118</v>
      </c>
      <c r="B375" s="13">
        <v>2010</v>
      </c>
      <c r="C375" s="4" t="s">
        <v>394</v>
      </c>
      <c r="D375" s="15">
        <f>IF('Dados brutos atualizados'!E481="","",'Dados brutos atualizados'!E481)</f>
        <v>2151334.9190000002</v>
      </c>
      <c r="E375" s="15">
        <f>IF(D375="","",D375*'Dados brutos atualizados'!G481)</f>
        <v>2151334919</v>
      </c>
      <c r="F375" s="4"/>
      <c r="G375" s="15" t="str">
        <f>IF(OR(E375="",F375=""),"",E375*F375)</f>
        <v/>
      </c>
      <c r="H375" s="14"/>
      <c r="I375" s="15" t="str">
        <f>IF(OR(G375="",H375="",H375=0),"",G375/H375)</f>
        <v/>
      </c>
      <c r="J375" s="14"/>
      <c r="K375" s="14" t="s">
        <v>395</v>
      </c>
      <c r="L375" s="14" t="s">
        <v>135</v>
      </c>
      <c r="M375" s="18" t="s">
        <v>399</v>
      </c>
      <c r="N375" s="14" t="s">
        <v>398</v>
      </c>
    </row>
    <row r="376" spans="1:14" ht="24">
      <c r="A376" s="4" t="s">
        <v>118</v>
      </c>
      <c r="B376" s="13">
        <v>2010</v>
      </c>
      <c r="C376" s="4" t="s">
        <v>400</v>
      </c>
      <c r="D376" s="15">
        <f>IF('Dados brutos atualizados'!E482="","",'Dados brutos atualizados'!E482)</f>
        <v>8607.5400000000009</v>
      </c>
      <c r="E376" s="15">
        <f>IF(D376="","",D376*'Dados brutos atualizados'!G482)</f>
        <v>8607.5400000000009</v>
      </c>
      <c r="F376" s="4"/>
      <c r="G376" s="15" t="str">
        <f>IF(OR(E376="",F376=""),"",E376*F376)</f>
        <v/>
      </c>
      <c r="H376" s="14"/>
      <c r="I376" s="14"/>
      <c r="J376" s="14"/>
      <c r="K376" s="14" t="s">
        <v>401</v>
      </c>
      <c r="L376" s="14" t="s">
        <v>135</v>
      </c>
      <c r="M376" s="18" t="s">
        <v>399</v>
      </c>
      <c r="N376" s="14" t="s">
        <v>404</v>
      </c>
    </row>
    <row r="377" spans="1:14" ht="15.75">
      <c r="A377" s="4" t="s">
        <v>118</v>
      </c>
      <c r="B377" s="13">
        <v>2011</v>
      </c>
      <c r="C377" s="4" t="s">
        <v>374</v>
      </c>
      <c r="D377" s="15">
        <f>IF('Dados brutos atualizados'!E483="","",'Dados brutos atualizados'!E483)</f>
        <v>4.321167</v>
      </c>
      <c r="E377" s="15">
        <f>IF(D377="","",D377*'Dados brutos atualizados'!G483)</f>
        <v>4.321167</v>
      </c>
      <c r="F377" s="4"/>
      <c r="G377" s="14"/>
      <c r="H377" s="14"/>
      <c r="I377" s="14"/>
      <c r="J377" s="15">
        <f t="shared" ref="J377:J382" si="34">IF(D377="","",D377)</f>
        <v>4.321167</v>
      </c>
      <c r="K377" s="14" t="s">
        <v>375</v>
      </c>
      <c r="L377" s="14" t="s">
        <v>378</v>
      </c>
      <c r="M377" s="18" t="s">
        <v>380</v>
      </c>
      <c r="N377" s="14" t="s">
        <v>379</v>
      </c>
    </row>
    <row r="378" spans="1:14" ht="15.75">
      <c r="A378" s="4" t="s">
        <v>118</v>
      </c>
      <c r="B378" s="13">
        <v>2011</v>
      </c>
      <c r="C378" s="4" t="s">
        <v>381</v>
      </c>
      <c r="D378" s="15">
        <f>IF('Dados brutos atualizados'!E484="","",'Dados brutos atualizados'!E484)</f>
        <v>4.7008989999999997</v>
      </c>
      <c r="E378" s="15">
        <f>IF(D378="","",D378*'Dados brutos atualizados'!G484)</f>
        <v>4.7008989999999997</v>
      </c>
      <c r="F378" s="4"/>
      <c r="G378" s="14"/>
      <c r="H378" s="14"/>
      <c r="I378" s="14"/>
      <c r="J378" s="15">
        <f t="shared" si="34"/>
        <v>4.7008989999999997</v>
      </c>
      <c r="K378" s="14" t="s">
        <v>375</v>
      </c>
      <c r="L378" s="14" t="s">
        <v>378</v>
      </c>
      <c r="M378" s="18" t="s">
        <v>382</v>
      </c>
      <c r="N378" s="14" t="s">
        <v>379</v>
      </c>
    </row>
    <row r="379" spans="1:14" ht="15.75">
      <c r="A379" s="4" t="s">
        <v>118</v>
      </c>
      <c r="B379" s="13">
        <v>2011</v>
      </c>
      <c r="C379" s="4" t="s">
        <v>383</v>
      </c>
      <c r="D379" s="15">
        <f>IF('Dados brutos atualizados'!E485="","",'Dados brutos atualizados'!E485)</f>
        <v>0.80950800000000001</v>
      </c>
      <c r="E379" s="15">
        <f>IF(D379="","",D379*'Dados brutos atualizados'!G485)</f>
        <v>0.80950800000000001</v>
      </c>
      <c r="F379" s="4"/>
      <c r="G379" s="14"/>
      <c r="H379" s="14"/>
      <c r="I379" s="14"/>
      <c r="J379" s="15">
        <f t="shared" si="34"/>
        <v>0.80950800000000001</v>
      </c>
      <c r="K379" s="14" t="s">
        <v>384</v>
      </c>
      <c r="L379" s="14" t="s">
        <v>378</v>
      </c>
      <c r="M379" s="18" t="s">
        <v>380</v>
      </c>
      <c r="N379" s="14" t="s">
        <v>379</v>
      </c>
    </row>
    <row r="380" spans="1:14" ht="15.75">
      <c r="A380" s="4" t="s">
        <v>118</v>
      </c>
      <c r="B380" s="13">
        <v>2011</v>
      </c>
      <c r="C380" s="4" t="s">
        <v>386</v>
      </c>
      <c r="D380" s="15">
        <f>IF('Dados brutos atualizados'!E486="","",'Dados brutos atualizados'!E486)</f>
        <v>0.88511499999999999</v>
      </c>
      <c r="E380" s="15">
        <f>IF(D380="","",D380*'Dados brutos atualizados'!G486)</f>
        <v>0.88511499999999999</v>
      </c>
      <c r="F380" s="4"/>
      <c r="G380" s="14"/>
      <c r="H380" s="14"/>
      <c r="I380" s="14"/>
      <c r="J380" s="15">
        <f t="shared" si="34"/>
        <v>0.88511499999999999</v>
      </c>
      <c r="K380" s="14" t="s">
        <v>384</v>
      </c>
      <c r="L380" s="14" t="s">
        <v>378</v>
      </c>
      <c r="M380" s="18" t="s">
        <v>382</v>
      </c>
      <c r="N380" s="14" t="s">
        <v>379</v>
      </c>
    </row>
    <row r="381" spans="1:14" ht="24">
      <c r="A381" s="4" t="s">
        <v>118</v>
      </c>
      <c r="B381" s="13">
        <v>2011</v>
      </c>
      <c r="C381" s="4" t="s">
        <v>587</v>
      </c>
      <c r="D381" s="15">
        <f>IF(OR('Dados brutos atualizados'!E485="",'Dados brutos atualizados'!E483=""),"",'Dados brutos atualizados'!E485*'Dados brutos atualizados'!E483)</f>
        <v>3.4980192558360002</v>
      </c>
      <c r="E381" s="15">
        <f>IF(D381="","",D381)</f>
        <v>3.4980192558360002</v>
      </c>
      <c r="F381" s="4"/>
      <c r="G381" s="14"/>
      <c r="H381" s="14"/>
      <c r="I381" s="14"/>
      <c r="J381" s="15">
        <f t="shared" si="34"/>
        <v>3.4980192558360002</v>
      </c>
      <c r="K381" s="14" t="s">
        <v>588</v>
      </c>
      <c r="L381" s="14" t="s">
        <v>589</v>
      </c>
      <c r="M381" s="18" t="s">
        <v>380</v>
      </c>
      <c r="N381" s="14" t="s">
        <v>590</v>
      </c>
    </row>
    <row r="382" spans="1:14" ht="24">
      <c r="A382" s="4" t="s">
        <v>118</v>
      </c>
      <c r="B382" s="13">
        <v>2011</v>
      </c>
      <c r="C382" s="4" t="s">
        <v>591</v>
      </c>
      <c r="D382" s="15">
        <f>IF(OR('Dados brutos atualizados'!E486="",'Dados brutos atualizados'!E484=""),"",'Dados brutos atualizados'!E486*'Dados brutos atualizados'!E484)</f>
        <v>4.1608362183849996</v>
      </c>
      <c r="E382" s="15">
        <f>IF(D382="","",D382)</f>
        <v>4.1608362183849996</v>
      </c>
      <c r="F382" s="4"/>
      <c r="G382" s="14"/>
      <c r="H382" s="14"/>
      <c r="I382" s="14"/>
      <c r="J382" s="15">
        <f t="shared" si="34"/>
        <v>4.1608362183849996</v>
      </c>
      <c r="K382" s="14" t="s">
        <v>588</v>
      </c>
      <c r="L382" s="14" t="s">
        <v>589</v>
      </c>
      <c r="M382" s="18" t="s">
        <v>382</v>
      </c>
      <c r="N382" s="14" t="s">
        <v>590</v>
      </c>
    </row>
    <row r="383" spans="1:14" ht="24">
      <c r="A383" s="4" t="s">
        <v>118</v>
      </c>
      <c r="B383" s="13">
        <v>2011</v>
      </c>
      <c r="C383" s="4" t="s">
        <v>394</v>
      </c>
      <c r="D383" s="15">
        <f>IF('Dados brutos atualizados'!E487="","",'Dados brutos atualizados'!E487)</f>
        <v>2475504.4640000002</v>
      </c>
      <c r="E383" s="15">
        <f>IF(D383="","",D383*'Dados brutos atualizados'!G487)</f>
        <v>2475504464</v>
      </c>
      <c r="F383" s="4"/>
      <c r="G383" s="15" t="str">
        <f>IF(OR(E383="",F383=""),"",E383*F383)</f>
        <v/>
      </c>
      <c r="H383" s="14"/>
      <c r="I383" s="15" t="str">
        <f>IF(OR(G383="",H383="",H383=0),"",G383/H383)</f>
        <v/>
      </c>
      <c r="J383" s="14"/>
      <c r="K383" s="14" t="s">
        <v>395</v>
      </c>
      <c r="L383" s="14" t="s">
        <v>135</v>
      </c>
      <c r="M383" s="18" t="s">
        <v>399</v>
      </c>
      <c r="N383" s="14" t="s">
        <v>398</v>
      </c>
    </row>
    <row r="384" spans="1:14" ht="24">
      <c r="A384" s="4" t="s">
        <v>118</v>
      </c>
      <c r="B384" s="13">
        <v>2011</v>
      </c>
      <c r="C384" s="4" t="s">
        <v>400</v>
      </c>
      <c r="D384" s="15">
        <f>IF('Dados brutos atualizados'!E488="","",'Dados brutos atualizados'!E488)</f>
        <v>9790.76</v>
      </c>
      <c r="E384" s="15">
        <f>IF(D384="","",D384*'Dados brutos atualizados'!G488)</f>
        <v>9790.76</v>
      </c>
      <c r="F384" s="4"/>
      <c r="G384" s="15" t="str">
        <f>IF(OR(E384="",F384=""),"",E384*F384)</f>
        <v/>
      </c>
      <c r="H384" s="14"/>
      <c r="I384" s="14"/>
      <c r="J384" s="14"/>
      <c r="K384" s="14" t="s">
        <v>401</v>
      </c>
      <c r="L384" s="14" t="s">
        <v>135</v>
      </c>
      <c r="M384" s="18" t="s">
        <v>399</v>
      </c>
      <c r="N384" s="14" t="s">
        <v>404</v>
      </c>
    </row>
    <row r="385" spans="1:14" ht="24">
      <c r="A385" s="4" t="s">
        <v>118</v>
      </c>
      <c r="B385" s="13">
        <v>2012</v>
      </c>
      <c r="C385" s="4" t="s">
        <v>394</v>
      </c>
      <c r="D385" s="15">
        <f>IF('Dados brutos atualizados'!E489="","",'Dados brutos atualizados'!E489)</f>
        <v>2829795.63</v>
      </c>
      <c r="E385" s="15">
        <f>IF(D385="","",D385*'Dados brutos atualizados'!G489)</f>
        <v>2829795630</v>
      </c>
      <c r="F385" s="4"/>
      <c r="G385" s="15" t="str">
        <f>IF(OR(E385="",F385=""),"",E385*F385)</f>
        <v/>
      </c>
      <c r="H385" s="14"/>
      <c r="I385" s="15" t="str">
        <f>IF(OR(G385="",H385="",H385=0),"",G385/H385)</f>
        <v/>
      </c>
      <c r="J385" s="14"/>
      <c r="K385" s="14" t="s">
        <v>395</v>
      </c>
      <c r="L385" s="14" t="s">
        <v>135</v>
      </c>
      <c r="M385" s="18" t="s">
        <v>399</v>
      </c>
      <c r="N385" s="14" t="s">
        <v>398</v>
      </c>
    </row>
    <row r="386" spans="1:14" ht="24">
      <c r="A386" s="4" t="s">
        <v>118</v>
      </c>
      <c r="B386" s="13">
        <v>2012</v>
      </c>
      <c r="C386" s="4" t="s">
        <v>400</v>
      </c>
      <c r="D386" s="15">
        <f>IF('Dados brutos atualizados'!E490="","",'Dados brutos atualizados'!E490)</f>
        <v>11069.11</v>
      </c>
      <c r="E386" s="15">
        <f>IF(D386="","",D386*'Dados brutos atualizados'!G490)</f>
        <v>11069.11</v>
      </c>
      <c r="F386" s="4"/>
      <c r="G386" s="15" t="str">
        <f>IF(OR(E386="",F386=""),"",E386*F386)</f>
        <v/>
      </c>
      <c r="H386" s="14"/>
      <c r="I386" s="14"/>
      <c r="J386" s="14"/>
      <c r="K386" s="14" t="s">
        <v>401</v>
      </c>
      <c r="L386" s="14" t="s">
        <v>135</v>
      </c>
      <c r="M386" s="18" t="s">
        <v>399</v>
      </c>
      <c r="N386" s="14" t="s">
        <v>404</v>
      </c>
    </row>
    <row r="387" spans="1:14" ht="15.75">
      <c r="A387" s="4" t="s">
        <v>118</v>
      </c>
      <c r="B387" s="13">
        <v>2013</v>
      </c>
      <c r="C387" s="4" t="s">
        <v>374</v>
      </c>
      <c r="D387" s="15">
        <f>IF('Dados brutos atualizados'!E491="","",'Dados brutos atualizados'!E491)</f>
        <v>4.4596669999999996</v>
      </c>
      <c r="E387" s="15">
        <f>IF(D387="","",D387*'Dados brutos atualizados'!G491)</f>
        <v>4.4596669999999996</v>
      </c>
      <c r="F387" s="4"/>
      <c r="G387" s="14"/>
      <c r="H387" s="14"/>
      <c r="I387" s="14"/>
      <c r="J387" s="15">
        <f t="shared" ref="J387:J392" si="35">IF(D387="","",D387)</f>
        <v>4.4596669999999996</v>
      </c>
      <c r="K387" s="14" t="s">
        <v>375</v>
      </c>
      <c r="L387" s="14" t="s">
        <v>378</v>
      </c>
      <c r="M387" s="18" t="s">
        <v>380</v>
      </c>
      <c r="N387" s="14" t="s">
        <v>379</v>
      </c>
    </row>
    <row r="388" spans="1:14" ht="15.75">
      <c r="A388" s="4" t="s">
        <v>118</v>
      </c>
      <c r="B388" s="13">
        <v>2013</v>
      </c>
      <c r="C388" s="4" t="s">
        <v>381</v>
      </c>
      <c r="D388" s="15">
        <f>IF('Dados brutos atualizados'!E492="","",'Dados brutos atualizados'!E492)</f>
        <v>4.6166159999999996</v>
      </c>
      <c r="E388" s="15">
        <f>IF(D388="","",D388*'Dados brutos atualizados'!G492)</f>
        <v>4.6166159999999996</v>
      </c>
      <c r="F388" s="4"/>
      <c r="G388" s="14"/>
      <c r="H388" s="14"/>
      <c r="I388" s="14"/>
      <c r="J388" s="15">
        <f t="shared" si="35"/>
        <v>4.6166159999999996</v>
      </c>
      <c r="K388" s="14" t="s">
        <v>375</v>
      </c>
      <c r="L388" s="14" t="s">
        <v>378</v>
      </c>
      <c r="M388" s="18" t="s">
        <v>382</v>
      </c>
      <c r="N388" s="14" t="s">
        <v>379</v>
      </c>
    </row>
    <row r="389" spans="1:14" ht="15.75">
      <c r="A389" s="4" t="s">
        <v>118</v>
      </c>
      <c r="B389" s="13">
        <v>2013</v>
      </c>
      <c r="C389" s="4" t="s">
        <v>383</v>
      </c>
      <c r="D389" s="15">
        <f>IF('Dados brutos atualizados'!E493="","",'Dados brutos atualizados'!E493)</f>
        <v>0.80941300000000005</v>
      </c>
      <c r="E389" s="15">
        <f>IF(D389="","",D389*'Dados brutos atualizados'!G493)</f>
        <v>0.80941300000000005</v>
      </c>
      <c r="F389" s="4"/>
      <c r="G389" s="14"/>
      <c r="H389" s="14"/>
      <c r="I389" s="14"/>
      <c r="J389" s="15">
        <f t="shared" si="35"/>
        <v>0.80941300000000005</v>
      </c>
      <c r="K389" s="14" t="s">
        <v>384</v>
      </c>
      <c r="L389" s="14" t="s">
        <v>378</v>
      </c>
      <c r="M389" s="18" t="s">
        <v>380</v>
      </c>
      <c r="N389" s="14" t="s">
        <v>379</v>
      </c>
    </row>
    <row r="390" spans="1:14" ht="15.75">
      <c r="A390" s="4" t="s">
        <v>118</v>
      </c>
      <c r="B390" s="13">
        <v>2013</v>
      </c>
      <c r="C390" s="4" t="s">
        <v>386</v>
      </c>
      <c r="D390" s="15">
        <f>IF('Dados brutos atualizados'!E494="","",'Dados brutos atualizados'!E494)</f>
        <v>0.90210500000000005</v>
      </c>
      <c r="E390" s="15">
        <f>IF(D390="","",D390*'Dados brutos atualizados'!G494)</f>
        <v>0.90210500000000005</v>
      </c>
      <c r="F390" s="4"/>
      <c r="G390" s="14"/>
      <c r="H390" s="14"/>
      <c r="I390" s="14"/>
      <c r="J390" s="15">
        <f t="shared" si="35"/>
        <v>0.90210500000000005</v>
      </c>
      <c r="K390" s="14" t="s">
        <v>384</v>
      </c>
      <c r="L390" s="14" t="s">
        <v>378</v>
      </c>
      <c r="M390" s="18" t="s">
        <v>382</v>
      </c>
      <c r="N390" s="14" t="s">
        <v>379</v>
      </c>
    </row>
    <row r="391" spans="1:14" ht="24">
      <c r="A391" s="4" t="s">
        <v>118</v>
      </c>
      <c r="B391" s="13">
        <v>2013</v>
      </c>
      <c r="C391" s="4" t="s">
        <v>587</v>
      </c>
      <c r="D391" s="15">
        <f>IF(OR('Dados brutos atualizados'!E493="",'Dados brutos atualizados'!E491=""),"",'Dados brutos atualizados'!E493*'Dados brutos atualizados'!E491)</f>
        <v>3.6097124454710001</v>
      </c>
      <c r="E391" s="15">
        <f>IF(D391="","",D391)</f>
        <v>3.6097124454710001</v>
      </c>
      <c r="F391" s="4"/>
      <c r="G391" s="14"/>
      <c r="H391" s="14"/>
      <c r="I391" s="14"/>
      <c r="J391" s="15">
        <f t="shared" si="35"/>
        <v>3.6097124454710001</v>
      </c>
      <c r="K391" s="14" t="s">
        <v>588</v>
      </c>
      <c r="L391" s="14" t="s">
        <v>589</v>
      </c>
      <c r="M391" s="18" t="s">
        <v>380</v>
      </c>
      <c r="N391" s="14" t="s">
        <v>590</v>
      </c>
    </row>
    <row r="392" spans="1:14" ht="24">
      <c r="A392" s="4" t="s">
        <v>118</v>
      </c>
      <c r="B392" s="13">
        <v>2013</v>
      </c>
      <c r="C392" s="4" t="s">
        <v>591</v>
      </c>
      <c r="D392" s="15">
        <f>IF(OR('Dados brutos atualizados'!E494="",'Dados brutos atualizados'!E492=""),"",'Dados brutos atualizados'!E494*'Dados brutos atualizados'!E492)</f>
        <v>4.1646723766799996</v>
      </c>
      <c r="E392" s="15">
        <f>IF(D392="","",D392)</f>
        <v>4.1646723766799996</v>
      </c>
      <c r="F392" s="4"/>
      <c r="G392" s="14"/>
      <c r="H392" s="14"/>
      <c r="I392" s="14"/>
      <c r="J392" s="15">
        <f t="shared" si="35"/>
        <v>4.1646723766799996</v>
      </c>
      <c r="K392" s="14" t="s">
        <v>588</v>
      </c>
      <c r="L392" s="14" t="s">
        <v>589</v>
      </c>
      <c r="M392" s="18" t="s">
        <v>382</v>
      </c>
      <c r="N392" s="14" t="s">
        <v>590</v>
      </c>
    </row>
    <row r="393" spans="1:14" ht="24">
      <c r="A393" s="4" t="s">
        <v>118</v>
      </c>
      <c r="B393" s="13">
        <v>2013</v>
      </c>
      <c r="C393" s="4" t="s">
        <v>394</v>
      </c>
      <c r="D393" s="15">
        <f>IF('Dados brutos atualizados'!E495="","",'Dados brutos atualizados'!E495)</f>
        <v>3232446.0440000002</v>
      </c>
      <c r="E393" s="15">
        <f>IF(D393="","",D393*'Dados brutos atualizados'!G495)</f>
        <v>3232446044</v>
      </c>
      <c r="F393" s="4"/>
      <c r="G393" s="15" t="str">
        <f>IF(OR(E393="",F393=""),"",E393*F393)</f>
        <v/>
      </c>
      <c r="H393" s="14"/>
      <c r="I393" s="15" t="str">
        <f>IF(OR(G393="",H393="",H393=0),"",G393/H393)</f>
        <v/>
      </c>
      <c r="J393" s="14"/>
      <c r="K393" s="14" t="s">
        <v>395</v>
      </c>
      <c r="L393" s="14" t="s">
        <v>135</v>
      </c>
      <c r="M393" s="18" t="s">
        <v>399</v>
      </c>
      <c r="N393" s="14" t="s">
        <v>398</v>
      </c>
    </row>
    <row r="394" spans="1:14" ht="24">
      <c r="A394" s="4" t="s">
        <v>118</v>
      </c>
      <c r="B394" s="13">
        <v>2013</v>
      </c>
      <c r="C394" s="4" t="s">
        <v>400</v>
      </c>
      <c r="D394" s="15">
        <f>IF('Dados brutos atualizados'!E496="","",'Dados brutos atualizados'!E496)</f>
        <v>12371.15</v>
      </c>
      <c r="E394" s="15">
        <f>IF(D394="","",D394*'Dados brutos atualizados'!G496)</f>
        <v>12371.15</v>
      </c>
      <c r="F394" s="4"/>
      <c r="G394" s="15" t="str">
        <f>IF(OR(E394="",F394=""),"",E394*F394)</f>
        <v/>
      </c>
      <c r="H394" s="14"/>
      <c r="I394" s="14"/>
      <c r="J394" s="14"/>
      <c r="K394" s="14" t="s">
        <v>401</v>
      </c>
      <c r="L394" s="14" t="s">
        <v>135</v>
      </c>
      <c r="M394" s="18" t="s">
        <v>399</v>
      </c>
      <c r="N394" s="14" t="s">
        <v>404</v>
      </c>
    </row>
    <row r="395" spans="1:14" ht="24">
      <c r="A395" s="4" t="s">
        <v>118</v>
      </c>
      <c r="B395" s="13">
        <v>2014</v>
      </c>
      <c r="C395" s="4" t="s">
        <v>394</v>
      </c>
      <c r="D395" s="15">
        <f>IF('Dados brutos atualizados'!E497="","",'Dados brutos atualizados'!E497)</f>
        <v>3819081.571</v>
      </c>
      <c r="E395" s="15">
        <f>IF(D395="","",D395*'Dados brutos atualizados'!G497)</f>
        <v>3819081571</v>
      </c>
      <c r="F395" s="17">
        <f>IF(E395="","",Deflatores!E2)</f>
        <v>1.8468399910282616</v>
      </c>
      <c r="G395" s="15">
        <f>IF(OR(E395="",F395=""),"",E395*F395)</f>
        <v>7053232574.3218393</v>
      </c>
      <c r="H395" s="14"/>
      <c r="I395" s="15" t="str">
        <f>IF(OR(G395="",H395="",H395=0),"",G395/H395)</f>
        <v/>
      </c>
      <c r="J395" s="14"/>
      <c r="K395" s="14" t="s">
        <v>395</v>
      </c>
      <c r="L395" s="14" t="s">
        <v>135</v>
      </c>
      <c r="M395" s="18" t="s">
        <v>399</v>
      </c>
      <c r="N395" s="14" t="s">
        <v>398</v>
      </c>
    </row>
    <row r="396" spans="1:14" ht="24">
      <c r="A396" s="4" t="s">
        <v>118</v>
      </c>
      <c r="B396" s="13">
        <v>2014</v>
      </c>
      <c r="C396" s="4" t="s">
        <v>400</v>
      </c>
      <c r="D396" s="15">
        <f>IF('Dados brutos atualizados'!E498="","",'Dados brutos atualizados'!E498)</f>
        <v>14482.46</v>
      </c>
      <c r="E396" s="15">
        <f>IF(D396="","",D396*'Dados brutos atualizados'!G498)</f>
        <v>14482.46</v>
      </c>
      <c r="F396" s="17">
        <f>IF(E396="","",Deflatores!E2)</f>
        <v>1.8468399910282616</v>
      </c>
      <c r="G396" s="15">
        <f>IF(OR(E396="",F396=""),"",E396*F396)</f>
        <v>26746.786296467155</v>
      </c>
      <c r="H396" s="14"/>
      <c r="I396" s="14"/>
      <c r="J396" s="14"/>
      <c r="K396" s="14" t="s">
        <v>401</v>
      </c>
      <c r="L396" s="14" t="s">
        <v>135</v>
      </c>
      <c r="M396" s="18" t="s">
        <v>399</v>
      </c>
      <c r="N396" s="14" t="s">
        <v>404</v>
      </c>
    </row>
    <row r="397" spans="1:14" ht="15.75">
      <c r="A397" s="4" t="s">
        <v>118</v>
      </c>
      <c r="B397" s="13">
        <v>2015</v>
      </c>
      <c r="C397" s="4" t="s">
        <v>374</v>
      </c>
      <c r="D397" s="15">
        <f>IF('Dados brutos atualizados'!E499="","",'Dados brutos atualizados'!E499)</f>
        <v>5.1043329999999996</v>
      </c>
      <c r="E397" s="15">
        <f>IF(D397="","",D397*'Dados brutos atualizados'!G499)</f>
        <v>5.1043329999999996</v>
      </c>
      <c r="F397" s="4"/>
      <c r="G397" s="14"/>
      <c r="H397" s="14"/>
      <c r="I397" s="14"/>
      <c r="J397" s="15">
        <f t="shared" ref="J397:J402" si="36">IF(D397="","",D397)</f>
        <v>5.1043329999999996</v>
      </c>
      <c r="K397" s="14" t="s">
        <v>375</v>
      </c>
      <c r="L397" s="14" t="s">
        <v>378</v>
      </c>
      <c r="M397" s="18" t="s">
        <v>380</v>
      </c>
      <c r="N397" s="14" t="s">
        <v>379</v>
      </c>
    </row>
    <row r="398" spans="1:14" ht="15.75">
      <c r="A398" s="4" t="s">
        <v>118</v>
      </c>
      <c r="B398" s="13">
        <v>2015</v>
      </c>
      <c r="C398" s="4" t="s">
        <v>381</v>
      </c>
      <c r="D398" s="15">
        <f>IF('Dados brutos atualizados'!E500="","",'Dados brutos atualizados'!E500)</f>
        <v>5.3032069999999996</v>
      </c>
      <c r="E398" s="15">
        <f>IF(D398="","",D398*'Dados brutos atualizados'!G500)</f>
        <v>5.3032069999999996</v>
      </c>
      <c r="F398" s="4"/>
      <c r="G398" s="14"/>
      <c r="H398" s="14"/>
      <c r="I398" s="14"/>
      <c r="J398" s="15">
        <f t="shared" si="36"/>
        <v>5.3032069999999996</v>
      </c>
      <c r="K398" s="14" t="s">
        <v>375</v>
      </c>
      <c r="L398" s="14" t="s">
        <v>378</v>
      </c>
      <c r="M398" s="18" t="s">
        <v>382</v>
      </c>
      <c r="N398" s="14" t="s">
        <v>379</v>
      </c>
    </row>
    <row r="399" spans="1:14" ht="15.75">
      <c r="A399" s="4" t="s">
        <v>118</v>
      </c>
      <c r="B399" s="13">
        <v>2015</v>
      </c>
      <c r="C399" s="4" t="s">
        <v>383</v>
      </c>
      <c r="D399" s="15">
        <f>IF('Dados brutos atualizados'!E501="","",'Dados brutos atualizados'!E501)</f>
        <v>0.83511100000000005</v>
      </c>
      <c r="E399" s="15">
        <f>IF(D399="","",D399*'Dados brutos atualizados'!G501)</f>
        <v>0.83511100000000005</v>
      </c>
      <c r="F399" s="4"/>
      <c r="G399" s="14"/>
      <c r="H399" s="14"/>
      <c r="I399" s="14"/>
      <c r="J399" s="15">
        <f t="shared" si="36"/>
        <v>0.83511100000000005</v>
      </c>
      <c r="K399" s="14" t="s">
        <v>384</v>
      </c>
      <c r="L399" s="14" t="s">
        <v>378</v>
      </c>
      <c r="M399" s="18" t="s">
        <v>380</v>
      </c>
      <c r="N399" s="14" t="s">
        <v>379</v>
      </c>
    </row>
    <row r="400" spans="1:14" ht="15.75">
      <c r="A400" s="4" t="s">
        <v>118</v>
      </c>
      <c r="B400" s="13">
        <v>2015</v>
      </c>
      <c r="C400" s="4" t="s">
        <v>386</v>
      </c>
      <c r="D400" s="15">
        <f>IF('Dados brutos atualizados'!E502="","",'Dados brutos atualizados'!E502)</f>
        <v>0.92276599999999998</v>
      </c>
      <c r="E400" s="15">
        <f>IF(D400="","",D400*'Dados brutos atualizados'!G502)</f>
        <v>0.92276599999999998</v>
      </c>
      <c r="F400" s="4"/>
      <c r="G400" s="14"/>
      <c r="H400" s="14"/>
      <c r="I400" s="14"/>
      <c r="J400" s="15">
        <f t="shared" si="36"/>
        <v>0.92276599999999998</v>
      </c>
      <c r="K400" s="14" t="s">
        <v>384</v>
      </c>
      <c r="L400" s="14" t="s">
        <v>378</v>
      </c>
      <c r="M400" s="18" t="s">
        <v>382</v>
      </c>
      <c r="N400" s="14" t="s">
        <v>379</v>
      </c>
    </row>
    <row r="401" spans="1:14" ht="24">
      <c r="A401" s="4" t="s">
        <v>118</v>
      </c>
      <c r="B401" s="13">
        <v>2015</v>
      </c>
      <c r="C401" s="4" t="s">
        <v>587</v>
      </c>
      <c r="D401" s="15">
        <f>IF(OR('Dados brutos atualizados'!E501="",'Dados brutos atualizados'!E499=""),"",'Dados brutos atualizados'!E501*'Dados brutos atualizados'!E499)</f>
        <v>4.2626846359629997</v>
      </c>
      <c r="E401" s="15">
        <f>IF(D401="","",D401)</f>
        <v>4.2626846359629997</v>
      </c>
      <c r="F401" s="4"/>
      <c r="G401" s="14"/>
      <c r="H401" s="14"/>
      <c r="I401" s="14"/>
      <c r="J401" s="15">
        <f t="shared" si="36"/>
        <v>4.2626846359629997</v>
      </c>
      <c r="K401" s="14" t="s">
        <v>588</v>
      </c>
      <c r="L401" s="14" t="s">
        <v>589</v>
      </c>
      <c r="M401" s="18" t="s">
        <v>380</v>
      </c>
      <c r="N401" s="14" t="s">
        <v>590</v>
      </c>
    </row>
    <row r="402" spans="1:14" ht="24">
      <c r="A402" s="4" t="s">
        <v>118</v>
      </c>
      <c r="B402" s="13">
        <v>2015</v>
      </c>
      <c r="C402" s="4" t="s">
        <v>591</v>
      </c>
      <c r="D402" s="15">
        <f>IF(OR('Dados brutos atualizados'!E502="",'Dados brutos atualizados'!E500=""),"",'Dados brutos atualizados'!E502*'Dados brutos atualizados'!E500)</f>
        <v>4.8936191105619997</v>
      </c>
      <c r="E402" s="15">
        <f>IF(D402="","",D402)</f>
        <v>4.8936191105619997</v>
      </c>
      <c r="F402" s="4"/>
      <c r="G402" s="14"/>
      <c r="H402" s="14"/>
      <c r="I402" s="14"/>
      <c r="J402" s="15">
        <f t="shared" si="36"/>
        <v>4.8936191105619997</v>
      </c>
      <c r="K402" s="14" t="s">
        <v>588</v>
      </c>
      <c r="L402" s="14" t="s">
        <v>589</v>
      </c>
      <c r="M402" s="18" t="s">
        <v>382</v>
      </c>
      <c r="N402" s="14" t="s">
        <v>590</v>
      </c>
    </row>
    <row r="403" spans="1:14" ht="24">
      <c r="A403" s="4" t="s">
        <v>118</v>
      </c>
      <c r="B403" s="13">
        <v>2015</v>
      </c>
      <c r="C403" s="4" t="s">
        <v>394</v>
      </c>
      <c r="D403" s="15">
        <f>IF('Dados brutos atualizados'!E503="","",'Dados brutos atualizados'!E503)</f>
        <v>3921616.173</v>
      </c>
      <c r="E403" s="15">
        <f>IF(D403="","",D403*'Dados brutos atualizados'!G503)</f>
        <v>3921616173</v>
      </c>
      <c r="F403" s="17">
        <f>IF(E403="","",Deflatores!E3)</f>
        <v>1.6938839471375786</v>
      </c>
      <c r="G403" s="15">
        <f>IF(OR(E403="",F403=""),"",E403*F403)</f>
        <v>6642762682.2798052</v>
      </c>
      <c r="H403" s="14"/>
      <c r="I403" s="15" t="str">
        <f>IF(OR(G403="",H403="",H403=0),"",G403/H403)</f>
        <v/>
      </c>
      <c r="J403" s="14"/>
      <c r="K403" s="14" t="s">
        <v>395</v>
      </c>
      <c r="L403" s="14" t="s">
        <v>135</v>
      </c>
      <c r="M403" s="18" t="s">
        <v>399</v>
      </c>
      <c r="N403" s="14" t="s">
        <v>398</v>
      </c>
    </row>
    <row r="404" spans="1:14" ht="24">
      <c r="A404" s="4" t="s">
        <v>118</v>
      </c>
      <c r="B404" s="13">
        <v>2015</v>
      </c>
      <c r="C404" s="4" t="s">
        <v>400</v>
      </c>
      <c r="D404" s="15">
        <f>IF('Dados brutos atualizados'!E504="","",'Dados brutos atualizados'!E504)</f>
        <v>14741.7</v>
      </c>
      <c r="E404" s="15">
        <f>IF(D404="","",D404*'Dados brutos atualizados'!G504)</f>
        <v>14741.7</v>
      </c>
      <c r="F404" s="17">
        <f>IF(E404="","",Deflatores!E3)</f>
        <v>1.6938839471375786</v>
      </c>
      <c r="G404" s="15">
        <f>IF(OR(E404="",F404=""),"",E404*F404)</f>
        <v>24970.728983518045</v>
      </c>
      <c r="H404" s="14"/>
      <c r="I404" s="14"/>
      <c r="J404" s="14"/>
      <c r="K404" s="14" t="s">
        <v>401</v>
      </c>
      <c r="L404" s="14" t="s">
        <v>135</v>
      </c>
      <c r="M404" s="18" t="s">
        <v>399</v>
      </c>
      <c r="N404" s="14" t="s">
        <v>404</v>
      </c>
    </row>
    <row r="405" spans="1:14" ht="24">
      <c r="A405" s="4" t="s">
        <v>118</v>
      </c>
      <c r="B405" s="13">
        <v>2016</v>
      </c>
      <c r="C405" s="4" t="s">
        <v>416</v>
      </c>
      <c r="D405" s="15">
        <f>IF('Dados brutos atualizados'!E505="","",'Dados brutos atualizados'!E505)</f>
        <v>46440357.990000002</v>
      </c>
      <c r="E405" s="15">
        <f>IF(D405="","",D405*'Dados brutos atualizados'!G505)</f>
        <v>46440357.990000002</v>
      </c>
      <c r="F405" s="17">
        <f>IF(E405="","",Deflatores!E4)</f>
        <v>1.5577499438136717</v>
      </c>
      <c r="G405" s="15">
        <f>IF(OR(E405="",F405=""),"",E405*F405)</f>
        <v>72342465.049609303</v>
      </c>
      <c r="H405" s="15">
        <f>IF('Dados tratados'!E414="","",'Dados tratados'!E414)</f>
        <v>268248</v>
      </c>
      <c r="I405" s="15">
        <f>IF(OR(G405="",H405="",H405=0),"",G405/H405)</f>
        <v>269.68501181596622</v>
      </c>
      <c r="J405" s="14"/>
      <c r="K405" s="14" t="s">
        <v>417</v>
      </c>
      <c r="L405" s="14" t="s">
        <v>135</v>
      </c>
      <c r="M405" s="18" t="s">
        <v>537</v>
      </c>
      <c r="N405" s="14" t="s">
        <v>420</v>
      </c>
    </row>
    <row r="406" spans="1:14" ht="15.75">
      <c r="A406" s="4" t="s">
        <v>118</v>
      </c>
      <c r="B406" s="13">
        <v>2016</v>
      </c>
      <c r="C406" s="4" t="s">
        <v>422</v>
      </c>
      <c r="D406" s="15">
        <f>IF('Dados brutos atualizados'!E506="","",'Dados brutos atualizados'!E506)</f>
        <v>52.59</v>
      </c>
      <c r="E406" s="15">
        <f>IF(D406="","",D406*'Dados brutos atualizados'!G506)</f>
        <v>52.59</v>
      </c>
      <c r="F406" s="4"/>
      <c r="G406" s="14"/>
      <c r="H406" s="14"/>
      <c r="I406" s="14"/>
      <c r="J406" s="15">
        <f>IF(D406="","",D406)</f>
        <v>52.59</v>
      </c>
      <c r="K406" s="14" t="s">
        <v>423</v>
      </c>
      <c r="L406" s="14" t="s">
        <v>135</v>
      </c>
      <c r="M406" s="18" t="s">
        <v>538</v>
      </c>
      <c r="N406" s="14" t="s">
        <v>426</v>
      </c>
    </row>
    <row r="407" spans="1:14" ht="24">
      <c r="A407" s="4" t="s">
        <v>118</v>
      </c>
      <c r="B407" s="13">
        <v>2016</v>
      </c>
      <c r="C407" s="4" t="s">
        <v>428</v>
      </c>
      <c r="D407" s="15">
        <f>IF('Dados brutos atualizados'!E507="","",'Dados brutos atualizados'!E507)</f>
        <v>30411019.329999998</v>
      </c>
      <c r="E407" s="15">
        <f>IF(D407="","",D407*'Dados brutos atualizados'!G507)</f>
        <v>30411019.329999998</v>
      </c>
      <c r="F407" s="17">
        <f>IF(E407="","",Deflatores!E4)</f>
        <v>1.5577499438136717</v>
      </c>
      <c r="G407" s="15">
        <f t="shared" ref="G407:G413" si="37">IF(OR(E407="",F407=""),"",E407*F407)</f>
        <v>47372763.652623981</v>
      </c>
      <c r="H407" s="14"/>
      <c r="I407" s="14"/>
      <c r="J407" s="14"/>
      <c r="K407" s="14" t="s">
        <v>417</v>
      </c>
      <c r="L407" s="14" t="s">
        <v>431</v>
      </c>
      <c r="M407" s="18" t="s">
        <v>537</v>
      </c>
      <c r="N407" s="14" t="s">
        <v>432</v>
      </c>
    </row>
    <row r="408" spans="1:14" ht="15.75">
      <c r="A408" s="4" t="s">
        <v>118</v>
      </c>
      <c r="B408" s="13">
        <v>2016</v>
      </c>
      <c r="C408" s="4" t="s">
        <v>433</v>
      </c>
      <c r="D408" s="15">
        <f>IF('Dados brutos atualizados'!E508="","",'Dados brutos atualizados'!E508)</f>
        <v>465482053.88999999</v>
      </c>
      <c r="E408" s="15">
        <f>IF(D408="","",D408*'Dados brutos atualizados'!G508)</f>
        <v>465482053.88999999</v>
      </c>
      <c r="F408" s="17">
        <f>IF(E408="","",Deflatores!E4)</f>
        <v>1.5577499438136717</v>
      </c>
      <c r="G408" s="15">
        <f t="shared" si="37"/>
        <v>725104643.29341996</v>
      </c>
      <c r="H408" s="15">
        <f>IF('Dados tratados'!E414="","",'Dados tratados'!E414)</f>
        <v>268248</v>
      </c>
      <c r="I408" s="15">
        <f>IF(OR(G408="",H408="",H408=0),"",G408/H408)</f>
        <v>2703.1129525417523</v>
      </c>
      <c r="J408" s="14"/>
      <c r="K408" s="14" t="s">
        <v>417</v>
      </c>
      <c r="L408" s="14" t="s">
        <v>135</v>
      </c>
      <c r="M408" s="18" t="s">
        <v>539</v>
      </c>
      <c r="N408" s="14" t="s">
        <v>436</v>
      </c>
    </row>
    <row r="409" spans="1:14" ht="15.75">
      <c r="A409" s="4" t="s">
        <v>118</v>
      </c>
      <c r="B409" s="13">
        <v>2016</v>
      </c>
      <c r="C409" s="4" t="s">
        <v>438</v>
      </c>
      <c r="D409" s="15">
        <f>IF('Dados brutos atualizados'!E509="","",'Dados brutos atualizados'!E509)</f>
        <v>460281676.97000003</v>
      </c>
      <c r="E409" s="15">
        <f>IF(D409="","",D409*'Dados brutos atualizados'!G509)</f>
        <v>460281676.97000003</v>
      </c>
      <c r="F409" s="17">
        <f>IF(E409="","",Deflatores!E4)</f>
        <v>1.5577499438136717</v>
      </c>
      <c r="G409" s="15">
        <f t="shared" si="37"/>
        <v>717003756.43848014</v>
      </c>
      <c r="H409" s="15">
        <f>IF('Dados tratados'!E414="","",'Dados tratados'!E414)</f>
        <v>268248</v>
      </c>
      <c r="I409" s="15">
        <f>IF(OR(G409="",H409="",H409=0),"",G409/H409)</f>
        <v>2672.9137083537626</v>
      </c>
      <c r="J409" s="14"/>
      <c r="K409" s="14" t="s">
        <v>417</v>
      </c>
      <c r="L409" s="14" t="s">
        <v>135</v>
      </c>
      <c r="M409" s="18" t="s">
        <v>539</v>
      </c>
      <c r="N409" s="14" t="s">
        <v>436</v>
      </c>
    </row>
    <row r="410" spans="1:14" ht="15.75">
      <c r="A410" s="4" t="s">
        <v>118</v>
      </c>
      <c r="B410" s="13">
        <v>2016</v>
      </c>
      <c r="C410" s="4" t="s">
        <v>440</v>
      </c>
      <c r="D410" s="15">
        <f>IF('Dados brutos atualizados'!E510="","",'Dados brutos atualizados'!E510)</f>
        <v>421335376.25</v>
      </c>
      <c r="E410" s="15">
        <f>IF(D410="","",D410*'Dados brutos atualizados'!G510)</f>
        <v>421335376.25</v>
      </c>
      <c r="F410" s="17">
        <f>IF(E410="","",Deflatores!E4)</f>
        <v>1.5577499438136717</v>
      </c>
      <c r="G410" s="15">
        <f t="shared" si="37"/>
        <v>656335158.68014967</v>
      </c>
      <c r="H410" s="15">
        <f>IF('Dados tratados'!E414="","",'Dados tratados'!E414)</f>
        <v>268248</v>
      </c>
      <c r="I410" s="15">
        <f>IF(OR(G410="",H410="",H410=0),"",G410/H410)</f>
        <v>2446.7476315952017</v>
      </c>
      <c r="J410" s="14"/>
      <c r="K410" s="14" t="s">
        <v>417</v>
      </c>
      <c r="L410" s="14" t="s">
        <v>135</v>
      </c>
      <c r="M410" s="18" t="s">
        <v>539</v>
      </c>
      <c r="N410" s="14" t="s">
        <v>436</v>
      </c>
    </row>
    <row r="411" spans="1:14" ht="15.75">
      <c r="A411" s="4" t="s">
        <v>118</v>
      </c>
      <c r="B411" s="13">
        <v>2016</v>
      </c>
      <c r="C411" s="4" t="s">
        <v>442</v>
      </c>
      <c r="D411" s="15">
        <f>IF('Dados brutos atualizados'!E511="","",'Dados brutos atualizados'!E511)</f>
        <v>230651664.72999999</v>
      </c>
      <c r="E411" s="15">
        <f>IF(D411="","",D411*'Dados brutos atualizados'!G511)</f>
        <v>230651664.72999999</v>
      </c>
      <c r="F411" s="17">
        <f>IF(E411="","",Deflatores!E4)</f>
        <v>1.5577499438136717</v>
      </c>
      <c r="G411" s="15">
        <f t="shared" si="37"/>
        <v>359297617.7736873</v>
      </c>
      <c r="H411" s="15">
        <f>IF('Dados tratados'!E414="","",'Dados tratados'!E414)</f>
        <v>268248</v>
      </c>
      <c r="I411" s="15">
        <f>IF(OR(G411="",H411="",H411=0),"",G411/H411)</f>
        <v>1339.4232865620147</v>
      </c>
      <c r="J411" s="14"/>
      <c r="K411" s="14" t="s">
        <v>417</v>
      </c>
      <c r="L411" s="14" t="s">
        <v>135</v>
      </c>
      <c r="M411" s="18" t="s">
        <v>538</v>
      </c>
      <c r="N411" s="14" t="s">
        <v>444</v>
      </c>
    </row>
    <row r="412" spans="1:14" ht="24">
      <c r="A412" s="4" t="s">
        <v>118</v>
      </c>
      <c r="B412" s="13">
        <v>2016</v>
      </c>
      <c r="C412" s="4" t="s">
        <v>394</v>
      </c>
      <c r="D412" s="15">
        <f>IF('Dados brutos atualizados'!E512="","",'Dados brutos atualizados'!E512)</f>
        <v>4183987.2760000001</v>
      </c>
      <c r="E412" s="15">
        <f>IF(D412="","",D412*'Dados brutos atualizados'!G512)</f>
        <v>4183987276</v>
      </c>
      <c r="F412" s="17">
        <f>IF(E412="","",Deflatores!E4)</f>
        <v>1.5577499438136717</v>
      </c>
      <c r="G412" s="15">
        <f t="shared" si="37"/>
        <v>6517605944.1061172</v>
      </c>
      <c r="H412" s="15">
        <f>IF('Dados tratados'!E414="","",'Dados tratados'!E414)</f>
        <v>268248</v>
      </c>
      <c r="I412" s="15">
        <f>IF(OR(G412="",H412="",H412=0),"",G412/H412)</f>
        <v>24296.941427731494</v>
      </c>
      <c r="J412" s="14"/>
      <c r="K412" s="14" t="s">
        <v>395</v>
      </c>
      <c r="L412" s="14" t="s">
        <v>135</v>
      </c>
      <c r="M412" s="18" t="s">
        <v>399</v>
      </c>
      <c r="N412" s="14" t="s">
        <v>398</v>
      </c>
    </row>
    <row r="413" spans="1:14" ht="24">
      <c r="A413" s="4" t="s">
        <v>118</v>
      </c>
      <c r="B413" s="13">
        <v>2016</v>
      </c>
      <c r="C413" s="4" t="s">
        <v>400</v>
      </c>
      <c r="D413" s="15">
        <f>IF('Dados brutos atualizados'!E513="","",'Dados brutos atualizados'!E513)</f>
        <v>15597.46</v>
      </c>
      <c r="E413" s="15">
        <f>IF(D413="","",D413*'Dados brutos atualizados'!G513)</f>
        <v>15597.46</v>
      </c>
      <c r="F413" s="17">
        <f>IF(E413="","",Deflatores!E4)</f>
        <v>1.5577499438136717</v>
      </c>
      <c r="G413" s="15">
        <f t="shared" si="37"/>
        <v>24296.94243863599</v>
      </c>
      <c r="H413" s="14"/>
      <c r="I413" s="14"/>
      <c r="J413" s="14"/>
      <c r="K413" s="14" t="s">
        <v>401</v>
      </c>
      <c r="L413" s="14" t="s">
        <v>135</v>
      </c>
      <c r="M413" s="18" t="s">
        <v>399</v>
      </c>
      <c r="N413" s="14" t="s">
        <v>404</v>
      </c>
    </row>
    <row r="414" spans="1:14" ht="15.75">
      <c r="A414" s="4" t="s">
        <v>118</v>
      </c>
      <c r="B414" s="13">
        <v>2016</v>
      </c>
      <c r="C414" s="4" t="s">
        <v>445</v>
      </c>
      <c r="D414" s="15">
        <f>IF('Dados brutos atualizados'!E514="","",'Dados brutos atualizados'!E514)</f>
        <v>268248</v>
      </c>
      <c r="E414" s="15">
        <f>IF(D414="","",D414*'Dados brutos atualizados'!G514)</f>
        <v>268248</v>
      </c>
      <c r="F414" s="4"/>
      <c r="G414" s="14"/>
      <c r="H414" s="14"/>
      <c r="I414" s="14"/>
      <c r="J414" s="15">
        <f>IF(D414="","",D414)</f>
        <v>268248</v>
      </c>
      <c r="K414" s="14" t="s">
        <v>446</v>
      </c>
      <c r="L414" s="14" t="s">
        <v>449</v>
      </c>
      <c r="M414" s="18" t="s">
        <v>540</v>
      </c>
      <c r="N414" s="14" t="s">
        <v>450</v>
      </c>
    </row>
    <row r="415" spans="1:14" ht="15.75">
      <c r="A415" s="4" t="s">
        <v>118</v>
      </c>
      <c r="B415" s="13">
        <v>2016</v>
      </c>
      <c r="C415" s="4" t="s">
        <v>452</v>
      </c>
      <c r="D415" s="15">
        <f>IF('Dados brutos atualizados'!E515="","",'Dados brutos atualizados'!E515)</f>
        <v>438548398.62</v>
      </c>
      <c r="E415" s="15">
        <f>IF(D415="","",D415*'Dados brutos atualizados'!G515)</f>
        <v>438548398.62</v>
      </c>
      <c r="F415" s="17">
        <f>IF(E415="","",Deflatores!E4)</f>
        <v>1.5577499438136717</v>
      </c>
      <c r="G415" s="15">
        <f t="shared" ref="G415:G421" si="38">IF(OR(E415="",F415=""),"",E415*F415)</f>
        <v>683148743.30988073</v>
      </c>
      <c r="H415" s="15">
        <f>IF('Dados tratados'!E414="","",'Dados tratados'!E414)</f>
        <v>268248</v>
      </c>
      <c r="I415" s="15">
        <f t="shared" ref="I415:I421" si="39">IF(OR(G415="",H415="",H415=0),"",G415/H415)</f>
        <v>2546.7058218882553</v>
      </c>
      <c r="J415" s="14"/>
      <c r="K415" s="14" t="s">
        <v>417</v>
      </c>
      <c r="L415" s="14" t="s">
        <v>135</v>
      </c>
      <c r="M415" s="18" t="s">
        <v>538</v>
      </c>
      <c r="N415" s="14" t="s">
        <v>455</v>
      </c>
    </row>
    <row r="416" spans="1:14" ht="15.75">
      <c r="A416" s="4" t="s">
        <v>118</v>
      </c>
      <c r="B416" s="13">
        <v>2016</v>
      </c>
      <c r="C416" s="4" t="s">
        <v>456</v>
      </c>
      <c r="D416" s="15" t="str">
        <f>IF('Dados brutos atualizados'!E516="","",'Dados brutos atualizados'!E516)</f>
        <v/>
      </c>
      <c r="E416" s="15" t="str">
        <f>IF(D416="","",D416*'Dados brutos atualizados'!G516)</f>
        <v/>
      </c>
      <c r="F416" s="17" t="str">
        <f>IF(E416="","",Deflatores!E4)</f>
        <v/>
      </c>
      <c r="G416" s="15" t="str">
        <f t="shared" si="38"/>
        <v/>
      </c>
      <c r="H416" s="15">
        <f>IF('Dados tratados'!E414="","",'Dados tratados'!E414)</f>
        <v>268248</v>
      </c>
      <c r="I416" s="15" t="str">
        <f t="shared" si="39"/>
        <v/>
      </c>
      <c r="J416" s="14"/>
      <c r="K416" s="14" t="s">
        <v>417</v>
      </c>
      <c r="L416" s="14" t="s">
        <v>458</v>
      </c>
      <c r="M416" s="18" t="s">
        <v>538</v>
      </c>
      <c r="N416" s="14" t="s">
        <v>459</v>
      </c>
    </row>
    <row r="417" spans="1:14" ht="15.75">
      <c r="A417" s="4" t="s">
        <v>118</v>
      </c>
      <c r="B417" s="13">
        <v>2016</v>
      </c>
      <c r="C417" s="4" t="s">
        <v>460</v>
      </c>
      <c r="D417" s="15">
        <f>IF('Dados brutos atualizados'!E517="","",'Dados brutos atualizados'!E517)</f>
        <v>539074379</v>
      </c>
      <c r="E417" s="15">
        <f>IF(D417="","",D417*'Dados brutos atualizados'!G517)</f>
        <v>539074379</v>
      </c>
      <c r="F417" s="17">
        <f>IF(E417="","",Deflatores!E4)</f>
        <v>1.5577499438136717</v>
      </c>
      <c r="G417" s="15">
        <f t="shared" si="38"/>
        <v>839743083.59863997</v>
      </c>
      <c r="H417" s="15">
        <f>IF('Dados tratados'!E414="","",'Dados tratados'!E414)</f>
        <v>268248</v>
      </c>
      <c r="I417" s="15">
        <f t="shared" si="39"/>
        <v>3130.4728594384301</v>
      </c>
      <c r="J417" s="14"/>
      <c r="K417" s="14" t="s">
        <v>417</v>
      </c>
      <c r="L417" s="14" t="s">
        <v>135</v>
      </c>
      <c r="M417" s="18" t="s">
        <v>537</v>
      </c>
      <c r="N417" s="14" t="s">
        <v>462</v>
      </c>
    </row>
    <row r="418" spans="1:14" ht="24">
      <c r="A418" s="4" t="s">
        <v>118</v>
      </c>
      <c r="B418" s="13">
        <v>2016</v>
      </c>
      <c r="C418" s="4" t="s">
        <v>592</v>
      </c>
      <c r="D418" s="15">
        <f>IF(OR('Dados tratados'!E417="",'Dados tratados'!E407=""),"",'Dados tratados'!E417-'Dados tratados'!E407)</f>
        <v>508663359.67000002</v>
      </c>
      <c r="E418" s="15">
        <f>IF(D418="","",D418)</f>
        <v>508663359.67000002</v>
      </c>
      <c r="F418" s="17">
        <f>IF(E418="","",Deflatores!E4)</f>
        <v>1.5577499438136717</v>
      </c>
      <c r="G418" s="15">
        <f t="shared" si="38"/>
        <v>792370319.94601595</v>
      </c>
      <c r="H418" s="15">
        <f>IF('Dados tratados'!E414="","",'Dados tratados'!E414)</f>
        <v>268248</v>
      </c>
      <c r="I418" s="15">
        <f t="shared" si="39"/>
        <v>2953.8722374296021</v>
      </c>
      <c r="J418" s="14"/>
      <c r="K418" s="14" t="s">
        <v>417</v>
      </c>
      <c r="L418" s="14" t="s">
        <v>593</v>
      </c>
      <c r="M418" s="18" t="s">
        <v>594</v>
      </c>
      <c r="N418" s="14" t="s">
        <v>595</v>
      </c>
    </row>
    <row r="419" spans="1:14" ht="36">
      <c r="A419" s="4" t="s">
        <v>118</v>
      </c>
      <c r="B419" s="13">
        <v>2016</v>
      </c>
      <c r="C419" s="4" t="s">
        <v>463</v>
      </c>
      <c r="D419" s="15">
        <f>IF('Dados brutos atualizados'!E518="","",'Dados brutos atualizados'!E518)</f>
        <v>183102412.88999999</v>
      </c>
      <c r="E419" s="15">
        <f>IF(D419="","",D419*'Dados brutos atualizados'!G518)</f>
        <v>183102412.88999999</v>
      </c>
      <c r="F419" s="17">
        <f>IF(E419="","",Deflatores!E4)</f>
        <v>1.5577499438136717</v>
      </c>
      <c r="G419" s="15">
        <f t="shared" si="38"/>
        <v>285227773.39154518</v>
      </c>
      <c r="H419" s="15">
        <f>IF('Dados tratados'!E414="","",'Dados tratados'!E414)</f>
        <v>268248</v>
      </c>
      <c r="I419" s="15">
        <f t="shared" si="39"/>
        <v>1063.2987884030642</v>
      </c>
      <c r="J419" s="14"/>
      <c r="K419" s="14" t="s">
        <v>417</v>
      </c>
      <c r="L419" s="14" t="s">
        <v>135</v>
      </c>
      <c r="M419" s="18" t="s">
        <v>537</v>
      </c>
      <c r="N419" s="14" t="s">
        <v>466</v>
      </c>
    </row>
    <row r="420" spans="1:14" ht="36">
      <c r="A420" s="4" t="s">
        <v>118</v>
      </c>
      <c r="B420" s="13">
        <v>2016</v>
      </c>
      <c r="C420" s="4" t="s">
        <v>467</v>
      </c>
      <c r="D420" s="15">
        <f>IF('Dados brutos atualizados'!E519="","",'Dados brutos atualizados'!E519)</f>
        <v>70828059.010000005</v>
      </c>
      <c r="E420" s="15">
        <f>IF(D420="","",D420*'Dados brutos atualizados'!G519)</f>
        <v>70828059.010000005</v>
      </c>
      <c r="F420" s="17">
        <f>IF(E420="","",Deflatores!E4)</f>
        <v>1.5577499438136717</v>
      </c>
      <c r="G420" s="15">
        <f t="shared" si="38"/>
        <v>110332404.94325893</v>
      </c>
      <c r="H420" s="15">
        <f>IF('Dados tratados'!E414="","",'Dados tratados'!E414)</f>
        <v>268248</v>
      </c>
      <c r="I420" s="15">
        <f t="shared" si="39"/>
        <v>411.30746526818064</v>
      </c>
      <c r="J420" s="14"/>
      <c r="K420" s="14" t="s">
        <v>417</v>
      </c>
      <c r="L420" s="14" t="s">
        <v>135</v>
      </c>
      <c r="M420" s="18" t="s">
        <v>537</v>
      </c>
      <c r="N420" s="14" t="s">
        <v>466</v>
      </c>
    </row>
    <row r="421" spans="1:14" ht="24">
      <c r="A421" s="4" t="s">
        <v>118</v>
      </c>
      <c r="B421" s="13">
        <v>2017</v>
      </c>
      <c r="C421" s="4" t="s">
        <v>416</v>
      </c>
      <c r="D421" s="15">
        <f>IF('Dados brutos atualizados'!E520="","",'Dados brutos atualizados'!E520)</f>
        <v>65336190.43</v>
      </c>
      <c r="E421" s="15">
        <f>IF(D421="","",D421*'Dados brutos atualizados'!G520)</f>
        <v>65336190.43</v>
      </c>
      <c r="F421" s="17">
        <f>IF(E421="","",Deflatores!E5)</f>
        <v>1.5058526397423999</v>
      </c>
      <c r="G421" s="15">
        <f t="shared" si="38"/>
        <v>98386674.82972762</v>
      </c>
      <c r="H421" s="15">
        <f>IF('Dados tratados'!E436="","",'Dados tratados'!E436)</f>
        <v>270383</v>
      </c>
      <c r="I421" s="15">
        <f t="shared" si="39"/>
        <v>363.8789229712209</v>
      </c>
      <c r="J421" s="14"/>
      <c r="K421" s="14" t="s">
        <v>417</v>
      </c>
      <c r="L421" s="14" t="s">
        <v>135</v>
      </c>
      <c r="M421" s="18" t="s">
        <v>541</v>
      </c>
      <c r="N421" s="14" t="s">
        <v>420</v>
      </c>
    </row>
    <row r="422" spans="1:14" ht="15.75">
      <c r="A422" s="4" t="s">
        <v>118</v>
      </c>
      <c r="B422" s="13">
        <v>2017</v>
      </c>
      <c r="C422" s="4" t="s">
        <v>422</v>
      </c>
      <c r="D422" s="15">
        <f>IF('Dados brutos atualizados'!E521="","",'Dados brutos atualizados'!E521)</f>
        <v>40.81</v>
      </c>
      <c r="E422" s="15">
        <f>IF(D422="","",D422*'Dados brutos atualizados'!G521)</f>
        <v>40.81</v>
      </c>
      <c r="F422" s="4"/>
      <c r="G422" s="14"/>
      <c r="H422" s="14"/>
      <c r="I422" s="14"/>
      <c r="J422" s="15">
        <f>IF(D422="","",D422)</f>
        <v>40.81</v>
      </c>
      <c r="K422" s="14" t="s">
        <v>423</v>
      </c>
      <c r="L422" s="14" t="s">
        <v>135</v>
      </c>
      <c r="M422" s="18" t="s">
        <v>542</v>
      </c>
      <c r="N422" s="14" t="s">
        <v>426</v>
      </c>
    </row>
    <row r="423" spans="1:14" ht="24">
      <c r="A423" s="4" t="s">
        <v>118</v>
      </c>
      <c r="B423" s="13">
        <v>2017</v>
      </c>
      <c r="C423" s="4" t="s">
        <v>428</v>
      </c>
      <c r="D423" s="15">
        <f>IF('Dados brutos atualizados'!E522="","",'Dados brutos atualizados'!E522)</f>
        <v>30687325.539999999</v>
      </c>
      <c r="E423" s="15">
        <f>IF(D423="","",D423*'Dados brutos atualizados'!G522)</f>
        <v>30687325.539999999</v>
      </c>
      <c r="F423" s="17">
        <f>IF(E423="","",Deflatores!E5)</f>
        <v>1.5058526397423999</v>
      </c>
      <c r="G423" s="15">
        <f>IF(OR(E423="",F423=""),"",E423*F423)</f>
        <v>46210590.171043366</v>
      </c>
      <c r="H423" s="14"/>
      <c r="I423" s="14"/>
      <c r="J423" s="14"/>
      <c r="K423" s="14" t="s">
        <v>417</v>
      </c>
      <c r="L423" s="14" t="s">
        <v>431</v>
      </c>
      <c r="M423" s="18" t="s">
        <v>541</v>
      </c>
      <c r="N423" s="14" t="s">
        <v>432</v>
      </c>
    </row>
    <row r="424" spans="1:14" ht="15.75">
      <c r="A424" s="4" t="s">
        <v>118</v>
      </c>
      <c r="B424" s="13">
        <v>2017</v>
      </c>
      <c r="C424" s="4" t="s">
        <v>433</v>
      </c>
      <c r="D424" s="15">
        <f>IF('Dados brutos atualizados'!E523="","",'Dados brutos atualizados'!E523)</f>
        <v>522709244.12</v>
      </c>
      <c r="E424" s="15">
        <f>IF(D424="","",D424*'Dados brutos atualizados'!G523)</f>
        <v>522709244.12</v>
      </c>
      <c r="F424" s="17">
        <f>IF(E424="","",Deflatores!E5)</f>
        <v>1.5058526397423999</v>
      </c>
      <c r="G424" s="15">
        <f>IF(OR(E424="",F424=""),"",E424*F424)</f>
        <v>787123095.07585657</v>
      </c>
      <c r="H424" s="15">
        <f>IF('Dados tratados'!E436="","",'Dados tratados'!E436)</f>
        <v>270383</v>
      </c>
      <c r="I424" s="15">
        <f>IF(OR(G424="",H424="",H424=0),"",G424/H424)</f>
        <v>2911.1412147799847</v>
      </c>
      <c r="J424" s="14"/>
      <c r="K424" s="14" t="s">
        <v>417</v>
      </c>
      <c r="L424" s="14" t="s">
        <v>135</v>
      </c>
      <c r="M424" s="18" t="s">
        <v>543</v>
      </c>
      <c r="N424" s="14" t="s">
        <v>436</v>
      </c>
    </row>
    <row r="425" spans="1:14" ht="15.75">
      <c r="A425" s="4" t="s">
        <v>118</v>
      </c>
      <c r="B425" s="13">
        <v>2017</v>
      </c>
      <c r="C425" s="4" t="s">
        <v>438</v>
      </c>
      <c r="D425" s="15">
        <f>IF('Dados brutos atualizados'!E524="","",'Dados brutos atualizados'!E524)</f>
        <v>502254014.99000001</v>
      </c>
      <c r="E425" s="15">
        <f>IF(D425="","",D425*'Dados brutos atualizados'!G524)</f>
        <v>502254014.99000001</v>
      </c>
      <c r="F425" s="17">
        <f>IF(E425="","",Deflatores!E5)</f>
        <v>1.5058526397423999</v>
      </c>
      <c r="G425" s="15">
        <f>IF(OR(E425="",F425=""),"",E425*F425)</f>
        <v>756320534.29391038</v>
      </c>
      <c r="H425" s="15">
        <f>IF('Dados tratados'!E436="","",'Dados tratados'!E436)</f>
        <v>270383</v>
      </c>
      <c r="I425" s="15">
        <f>IF(OR(G425="",H425="",H425=0),"",G425/H425)</f>
        <v>2797.2192567354841</v>
      </c>
      <c r="J425" s="14"/>
      <c r="K425" s="14" t="s">
        <v>417</v>
      </c>
      <c r="L425" s="14" t="s">
        <v>135</v>
      </c>
      <c r="M425" s="18" t="s">
        <v>543</v>
      </c>
      <c r="N425" s="14" t="s">
        <v>436</v>
      </c>
    </row>
    <row r="426" spans="1:14" ht="15.75">
      <c r="A426" s="4" t="s">
        <v>118</v>
      </c>
      <c r="B426" s="13">
        <v>2017</v>
      </c>
      <c r="C426" s="4" t="s">
        <v>440</v>
      </c>
      <c r="D426" s="15">
        <f>IF('Dados brutos atualizados'!E525="","",'Dados brutos atualizados'!E525)</f>
        <v>482496860.16000003</v>
      </c>
      <c r="E426" s="15">
        <f>IF(D426="","",D426*'Dados brutos atualizados'!G525)</f>
        <v>482496860.16000003</v>
      </c>
      <c r="F426" s="17">
        <f>IF(E426="","",Deflatores!E5)</f>
        <v>1.5058526397423999</v>
      </c>
      <c r="G426" s="15">
        <f>IF(OR(E426="",F426=""),"",E426*F426)</f>
        <v>726569170.53935564</v>
      </c>
      <c r="H426" s="15">
        <f>IF('Dados tratados'!E436="","",'Dados tratados'!E436)</f>
        <v>270383</v>
      </c>
      <c r="I426" s="15">
        <f>IF(OR(G426="",H426="",H426=0),"",G426/H426)</f>
        <v>2687.1851060878666</v>
      </c>
      <c r="J426" s="14"/>
      <c r="K426" s="14" t="s">
        <v>417</v>
      </c>
      <c r="L426" s="14" t="s">
        <v>135</v>
      </c>
      <c r="M426" s="18" t="s">
        <v>543</v>
      </c>
      <c r="N426" s="14" t="s">
        <v>436</v>
      </c>
    </row>
    <row r="427" spans="1:14" ht="15.75">
      <c r="A427" s="4" t="s">
        <v>118</v>
      </c>
      <c r="B427" s="13">
        <v>2017</v>
      </c>
      <c r="C427" s="4" t="s">
        <v>442</v>
      </c>
      <c r="D427" s="15">
        <f>IF('Dados brutos atualizados'!E526="","",'Dados brutos atualizados'!E526)</f>
        <v>238920346.13999999</v>
      </c>
      <c r="E427" s="15">
        <f>IF(D427="","",D427*'Dados brutos atualizados'!G526)</f>
        <v>238920346.13999999</v>
      </c>
      <c r="F427" s="17">
        <f>IF(E427="","",Deflatores!E5)</f>
        <v>1.5058526397423999</v>
      </c>
      <c r="G427" s="15">
        <f>IF(OR(E427="",F427=""),"",E427*F427)</f>
        <v>359778833.92308688</v>
      </c>
      <c r="H427" s="15">
        <f>IF('Dados tratados'!E436="","",'Dados tratados'!E436)</f>
        <v>270383</v>
      </c>
      <c r="I427" s="15">
        <f>IF(OR(G427="",H427="",H427=0),"",G427/H427)</f>
        <v>1330.6266811267235</v>
      </c>
      <c r="J427" s="14"/>
      <c r="K427" s="14" t="s">
        <v>417</v>
      </c>
      <c r="L427" s="14" t="s">
        <v>135</v>
      </c>
      <c r="M427" s="18" t="s">
        <v>542</v>
      </c>
      <c r="N427" s="14" t="s">
        <v>444</v>
      </c>
    </row>
    <row r="428" spans="1:14" ht="15.75">
      <c r="A428" s="4" t="s">
        <v>118</v>
      </c>
      <c r="B428" s="13">
        <v>2017</v>
      </c>
      <c r="C428" s="4" t="s">
        <v>374</v>
      </c>
      <c r="D428" s="15">
        <f>IF('Dados brutos atualizados'!E527="","",'Dados brutos atualizados'!E527)</f>
        <v>5.0309999999999997</v>
      </c>
      <c r="E428" s="15">
        <f>IF(D428="","",D428*'Dados brutos atualizados'!G527)</f>
        <v>5.0309999999999997</v>
      </c>
      <c r="F428" s="4"/>
      <c r="G428" s="14"/>
      <c r="H428" s="14"/>
      <c r="I428" s="14"/>
      <c r="J428" s="15">
        <f t="shared" ref="J428:J433" si="40">IF(D428="","",D428)</f>
        <v>5.0309999999999997</v>
      </c>
      <c r="K428" s="14" t="s">
        <v>375</v>
      </c>
      <c r="L428" s="14" t="s">
        <v>378</v>
      </c>
      <c r="M428" s="18" t="s">
        <v>380</v>
      </c>
      <c r="N428" s="14" t="s">
        <v>379</v>
      </c>
    </row>
    <row r="429" spans="1:14" ht="15.75">
      <c r="A429" s="4" t="s">
        <v>118</v>
      </c>
      <c r="B429" s="13">
        <v>2017</v>
      </c>
      <c r="C429" s="4" t="s">
        <v>381</v>
      </c>
      <c r="D429" s="15">
        <f>IF('Dados brutos atualizados'!E528="","",'Dados brutos atualizados'!E528)</f>
        <v>5.3607860000000001</v>
      </c>
      <c r="E429" s="15">
        <f>IF(D429="","",D429*'Dados brutos atualizados'!G528)</f>
        <v>5.3607860000000001</v>
      </c>
      <c r="F429" s="4"/>
      <c r="G429" s="14"/>
      <c r="H429" s="14"/>
      <c r="I429" s="14"/>
      <c r="J429" s="15">
        <f t="shared" si="40"/>
        <v>5.3607860000000001</v>
      </c>
      <c r="K429" s="14" t="s">
        <v>375</v>
      </c>
      <c r="L429" s="14" t="s">
        <v>378</v>
      </c>
      <c r="M429" s="18" t="s">
        <v>382</v>
      </c>
      <c r="N429" s="14" t="s">
        <v>379</v>
      </c>
    </row>
    <row r="430" spans="1:14" ht="15.75">
      <c r="A430" s="4" t="s">
        <v>118</v>
      </c>
      <c r="B430" s="13">
        <v>2017</v>
      </c>
      <c r="C430" s="4" t="s">
        <v>383</v>
      </c>
      <c r="D430" s="15">
        <f>IF('Dados brutos atualizados'!E529="","",'Dados brutos atualizados'!E529)</f>
        <v>0.85812699999999997</v>
      </c>
      <c r="E430" s="15">
        <f>IF(D430="","",D430*'Dados brutos atualizados'!G529)</f>
        <v>0.85812699999999997</v>
      </c>
      <c r="F430" s="4"/>
      <c r="G430" s="14"/>
      <c r="H430" s="14"/>
      <c r="I430" s="14"/>
      <c r="J430" s="15">
        <f t="shared" si="40"/>
        <v>0.85812699999999997</v>
      </c>
      <c r="K430" s="14" t="s">
        <v>384</v>
      </c>
      <c r="L430" s="14" t="s">
        <v>378</v>
      </c>
      <c r="M430" s="18" t="s">
        <v>380</v>
      </c>
      <c r="N430" s="14" t="s">
        <v>379</v>
      </c>
    </row>
    <row r="431" spans="1:14" ht="15.75">
      <c r="A431" s="4" t="s">
        <v>118</v>
      </c>
      <c r="B431" s="13">
        <v>2017</v>
      </c>
      <c r="C431" s="4" t="s">
        <v>386</v>
      </c>
      <c r="D431" s="15">
        <f>IF('Dados brutos atualizados'!E530="","",'Dados brutos atualizados'!E530)</f>
        <v>0.93831299999999995</v>
      </c>
      <c r="E431" s="15">
        <f>IF(D431="","",D431*'Dados brutos atualizados'!G530)</f>
        <v>0.93831299999999995</v>
      </c>
      <c r="F431" s="4"/>
      <c r="G431" s="14"/>
      <c r="H431" s="14"/>
      <c r="I431" s="14"/>
      <c r="J431" s="15">
        <f t="shared" si="40"/>
        <v>0.93831299999999995</v>
      </c>
      <c r="K431" s="14" t="s">
        <v>384</v>
      </c>
      <c r="L431" s="14" t="s">
        <v>378</v>
      </c>
      <c r="M431" s="18" t="s">
        <v>382</v>
      </c>
      <c r="N431" s="14" t="s">
        <v>379</v>
      </c>
    </row>
    <row r="432" spans="1:14" ht="24">
      <c r="A432" s="4" t="s">
        <v>118</v>
      </c>
      <c r="B432" s="13">
        <v>2017</v>
      </c>
      <c r="C432" s="4" t="s">
        <v>587</v>
      </c>
      <c r="D432" s="15">
        <f>IF(OR('Dados brutos atualizados'!E529="",'Dados brutos atualizados'!E527=""),"",'Dados brutos atualizados'!E529*'Dados brutos atualizados'!E527)</f>
        <v>4.3172369369999997</v>
      </c>
      <c r="E432" s="15">
        <f>IF(D432="","",D432)</f>
        <v>4.3172369369999997</v>
      </c>
      <c r="F432" s="4"/>
      <c r="G432" s="14"/>
      <c r="H432" s="14"/>
      <c r="I432" s="14"/>
      <c r="J432" s="15">
        <f t="shared" si="40"/>
        <v>4.3172369369999997</v>
      </c>
      <c r="K432" s="14" t="s">
        <v>588</v>
      </c>
      <c r="L432" s="14" t="s">
        <v>589</v>
      </c>
      <c r="M432" s="18" t="s">
        <v>380</v>
      </c>
      <c r="N432" s="14" t="s">
        <v>590</v>
      </c>
    </row>
    <row r="433" spans="1:14" ht="24">
      <c r="A433" s="4" t="s">
        <v>118</v>
      </c>
      <c r="B433" s="13">
        <v>2017</v>
      </c>
      <c r="C433" s="4" t="s">
        <v>591</v>
      </c>
      <c r="D433" s="15">
        <f>IF(OR('Dados brutos atualizados'!E530="",'Dados brutos atualizados'!E528=""),"",'Dados brutos atualizados'!E530*'Dados brutos atualizados'!E528)</f>
        <v>5.0300951940180001</v>
      </c>
      <c r="E433" s="15">
        <f>IF(D433="","",D433)</f>
        <v>5.0300951940180001</v>
      </c>
      <c r="F433" s="4"/>
      <c r="G433" s="14"/>
      <c r="H433" s="14"/>
      <c r="I433" s="14"/>
      <c r="J433" s="15">
        <f t="shared" si="40"/>
        <v>5.0300951940180001</v>
      </c>
      <c r="K433" s="14" t="s">
        <v>588</v>
      </c>
      <c r="L433" s="14" t="s">
        <v>589</v>
      </c>
      <c r="M433" s="18" t="s">
        <v>382</v>
      </c>
      <c r="N433" s="14" t="s">
        <v>590</v>
      </c>
    </row>
    <row r="434" spans="1:14" ht="24">
      <c r="A434" s="4" t="s">
        <v>118</v>
      </c>
      <c r="B434" s="13">
        <v>2017</v>
      </c>
      <c r="C434" s="4" t="s">
        <v>394</v>
      </c>
      <c r="D434" s="15">
        <f>IF('Dados brutos atualizados'!E531="","",'Dados brutos atualizados'!E531)</f>
        <v>4428413.5049999999</v>
      </c>
      <c r="E434" s="15">
        <f>IF(D434="","",D434*'Dados brutos atualizados'!G531)</f>
        <v>4428413505</v>
      </c>
      <c r="F434" s="17">
        <f>IF(E434="","",Deflatores!E5)</f>
        <v>1.5058526397423999</v>
      </c>
      <c r="G434" s="15">
        <f>IF(OR(E434="",F434=""),"",E434*F434)</f>
        <v>6668538166.3751431</v>
      </c>
      <c r="H434" s="15">
        <f>IF('Dados tratados'!E436="","",'Dados tratados'!E436)</f>
        <v>270383</v>
      </c>
      <c r="I434" s="15">
        <f>IF(OR(G434="",H434="",H434=0),"",G434/H434)</f>
        <v>24663.30415142647</v>
      </c>
      <c r="J434" s="14"/>
      <c r="K434" s="14" t="s">
        <v>395</v>
      </c>
      <c r="L434" s="14" t="s">
        <v>135</v>
      </c>
      <c r="M434" s="18" t="s">
        <v>399</v>
      </c>
      <c r="N434" s="14" t="s">
        <v>398</v>
      </c>
    </row>
    <row r="435" spans="1:14" ht="24">
      <c r="A435" s="4" t="s">
        <v>118</v>
      </c>
      <c r="B435" s="13">
        <v>2017</v>
      </c>
      <c r="C435" s="4" t="s">
        <v>400</v>
      </c>
      <c r="D435" s="15">
        <f>IF('Dados brutos atualizados'!E532="","",'Dados brutos atualizados'!E532)</f>
        <v>16378.3</v>
      </c>
      <c r="E435" s="15">
        <f>IF(D435="","",D435*'Dados brutos atualizados'!G532)</f>
        <v>16378.3</v>
      </c>
      <c r="F435" s="17">
        <f>IF(E435="","",Deflatores!E5)</f>
        <v>1.5058526397423999</v>
      </c>
      <c r="G435" s="15">
        <f>IF(OR(E435="",F435=""),"",E435*F435)</f>
        <v>24663.306289492946</v>
      </c>
      <c r="H435" s="14"/>
      <c r="I435" s="14"/>
      <c r="J435" s="14"/>
      <c r="K435" s="14" t="s">
        <v>401</v>
      </c>
      <c r="L435" s="14" t="s">
        <v>135</v>
      </c>
      <c r="M435" s="18" t="s">
        <v>399</v>
      </c>
      <c r="N435" s="14" t="s">
        <v>404</v>
      </c>
    </row>
    <row r="436" spans="1:14" ht="15.75">
      <c r="A436" s="4" t="s">
        <v>118</v>
      </c>
      <c r="B436" s="13">
        <v>2017</v>
      </c>
      <c r="C436" s="4" t="s">
        <v>445</v>
      </c>
      <c r="D436" s="15">
        <f>IF('Dados brutos atualizados'!E533="","",'Dados brutos atualizados'!E533)</f>
        <v>270383</v>
      </c>
      <c r="E436" s="15">
        <f>IF(D436="","",D436*'Dados brutos atualizados'!G533)</f>
        <v>270383</v>
      </c>
      <c r="F436" s="4"/>
      <c r="G436" s="14"/>
      <c r="H436" s="14"/>
      <c r="I436" s="14"/>
      <c r="J436" s="15">
        <f>IF(D436="","",D436)</f>
        <v>270383</v>
      </c>
      <c r="K436" s="14" t="s">
        <v>446</v>
      </c>
      <c r="L436" s="14" t="s">
        <v>449</v>
      </c>
      <c r="M436" s="18" t="s">
        <v>540</v>
      </c>
      <c r="N436" s="14" t="s">
        <v>450</v>
      </c>
    </row>
    <row r="437" spans="1:14" ht="15.75">
      <c r="A437" s="4" t="s">
        <v>118</v>
      </c>
      <c r="B437" s="13">
        <v>2017</v>
      </c>
      <c r="C437" s="4" t="s">
        <v>452</v>
      </c>
      <c r="D437" s="15">
        <f>IF('Dados brutos atualizados'!E534="","",'Dados brutos atualizados'!E534)</f>
        <v>585515548.22000003</v>
      </c>
      <c r="E437" s="15">
        <f>IF(D437="","",D437*'Dados brutos atualizados'!G534)</f>
        <v>585515548.22000003</v>
      </c>
      <c r="F437" s="17">
        <f>IF(E437="","",Deflatores!E5)</f>
        <v>1.5058526397423999</v>
      </c>
      <c r="G437" s="15">
        <f t="shared" ref="G437:G443" si="41">IF(OR(E437="",F437=""),"",E437*F437)</f>
        <v>881700133.89730549</v>
      </c>
      <c r="H437" s="15">
        <f>IF('Dados tratados'!E436="","",'Dados tratados'!E436)</f>
        <v>270383</v>
      </c>
      <c r="I437" s="15">
        <f t="shared" ref="I437:I443" si="42">IF(OR(G437="",H437="",H437=0),"",G437/H437)</f>
        <v>3260.9303613663046</v>
      </c>
      <c r="J437" s="14"/>
      <c r="K437" s="14" t="s">
        <v>417</v>
      </c>
      <c r="L437" s="14" t="s">
        <v>135</v>
      </c>
      <c r="M437" s="18" t="s">
        <v>542</v>
      </c>
      <c r="N437" s="14" t="s">
        <v>455</v>
      </c>
    </row>
    <row r="438" spans="1:14" ht="15.75">
      <c r="A438" s="4" t="s">
        <v>118</v>
      </c>
      <c r="B438" s="13">
        <v>2017</v>
      </c>
      <c r="C438" s="4" t="s">
        <v>456</v>
      </c>
      <c r="D438" s="15">
        <f>IF('Dados brutos atualizados'!E535="","",'Dados brutos atualizados'!E535)</f>
        <v>585515548.22000003</v>
      </c>
      <c r="E438" s="15">
        <f>IF(D438="","",D438*'Dados brutos atualizados'!G535)</f>
        <v>585515548.22000003</v>
      </c>
      <c r="F438" s="17">
        <f>IF(E438="","",Deflatores!E5)</f>
        <v>1.5058526397423999</v>
      </c>
      <c r="G438" s="15">
        <f t="shared" si="41"/>
        <v>881700133.89730549</v>
      </c>
      <c r="H438" s="15">
        <f>IF('Dados tratados'!E436="","",'Dados tratados'!E436)</f>
        <v>270383</v>
      </c>
      <c r="I438" s="15">
        <f t="shared" si="42"/>
        <v>3260.9303613663046</v>
      </c>
      <c r="J438" s="14"/>
      <c r="K438" s="14" t="s">
        <v>417</v>
      </c>
      <c r="L438" s="14" t="s">
        <v>135</v>
      </c>
      <c r="M438" s="18" t="s">
        <v>542</v>
      </c>
      <c r="N438" s="14" t="s">
        <v>459</v>
      </c>
    </row>
    <row r="439" spans="1:14" ht="15.75">
      <c r="A439" s="4" t="s">
        <v>118</v>
      </c>
      <c r="B439" s="13">
        <v>2017</v>
      </c>
      <c r="C439" s="4" t="s">
        <v>460</v>
      </c>
      <c r="D439" s="15">
        <f>IF('Dados brutos atualizados'!E536="","",'Dados brutos atualizados'!E536)</f>
        <v>672950288.23000002</v>
      </c>
      <c r="E439" s="15">
        <f>IF(D439="","",D439*'Dados brutos atualizados'!G536)</f>
        <v>672950288.23000002</v>
      </c>
      <c r="F439" s="17">
        <f>IF(E439="","",Deflatores!E5)</f>
        <v>1.5058526397423999</v>
      </c>
      <c r="G439" s="15">
        <f t="shared" si="41"/>
        <v>1013363967.9465544</v>
      </c>
      <c r="H439" s="15">
        <f>IF('Dados tratados'!E436="","",'Dados tratados'!E436)</f>
        <v>270383</v>
      </c>
      <c r="I439" s="15">
        <f t="shared" si="42"/>
        <v>3747.8834392197527</v>
      </c>
      <c r="J439" s="14"/>
      <c r="K439" s="14" t="s">
        <v>417</v>
      </c>
      <c r="L439" s="14" t="s">
        <v>135</v>
      </c>
      <c r="M439" s="18" t="s">
        <v>541</v>
      </c>
      <c r="N439" s="14" t="s">
        <v>462</v>
      </c>
    </row>
    <row r="440" spans="1:14" ht="24">
      <c r="A440" s="4" t="s">
        <v>118</v>
      </c>
      <c r="B440" s="13">
        <v>2017</v>
      </c>
      <c r="C440" s="4" t="s">
        <v>592</v>
      </c>
      <c r="D440" s="15">
        <f>IF(OR('Dados tratados'!E439="",'Dados tratados'!E423=""),"",'Dados tratados'!E439-'Dados tratados'!E423)</f>
        <v>642262962.69000006</v>
      </c>
      <c r="E440" s="15">
        <f>IF(D440="","",D440)</f>
        <v>642262962.69000006</v>
      </c>
      <c r="F440" s="17">
        <f>IF(E440="","",Deflatores!E5)</f>
        <v>1.5058526397423999</v>
      </c>
      <c r="G440" s="15">
        <f t="shared" si="41"/>
        <v>967153377.77551115</v>
      </c>
      <c r="H440" s="15">
        <f>IF('Dados tratados'!E436="","",'Dados tratados'!E436)</f>
        <v>270383</v>
      </c>
      <c r="I440" s="15">
        <f t="shared" si="42"/>
        <v>3576.975541271127</v>
      </c>
      <c r="J440" s="14"/>
      <c r="K440" s="14" t="s">
        <v>417</v>
      </c>
      <c r="L440" s="14" t="s">
        <v>593</v>
      </c>
      <c r="M440" s="18" t="s">
        <v>594</v>
      </c>
      <c r="N440" s="14" t="s">
        <v>595</v>
      </c>
    </row>
    <row r="441" spans="1:14" ht="36">
      <c r="A441" s="4" t="s">
        <v>118</v>
      </c>
      <c r="B441" s="13">
        <v>2017</v>
      </c>
      <c r="C441" s="4" t="s">
        <v>463</v>
      </c>
      <c r="D441" s="15">
        <f>IF('Dados brutos atualizados'!E537="","",'Dados brutos atualizados'!E537)</f>
        <v>179788901.56999999</v>
      </c>
      <c r="E441" s="15">
        <f>IF(D441="","",D441*'Dados brutos atualizados'!G537)</f>
        <v>179788901.56999999</v>
      </c>
      <c r="F441" s="17">
        <f>IF(E441="","",Deflatores!E5)</f>
        <v>1.5058526397423999</v>
      </c>
      <c r="G441" s="15">
        <f t="shared" si="41"/>
        <v>270735592.02557099</v>
      </c>
      <c r="H441" s="15">
        <f>IF('Dados tratados'!E436="","",'Dados tratados'!E436)</f>
        <v>270383</v>
      </c>
      <c r="I441" s="15">
        <f t="shared" si="42"/>
        <v>1001.3040465767855</v>
      </c>
      <c r="J441" s="14"/>
      <c r="K441" s="14" t="s">
        <v>417</v>
      </c>
      <c r="L441" s="14" t="s">
        <v>135</v>
      </c>
      <c r="M441" s="18" t="s">
        <v>541</v>
      </c>
      <c r="N441" s="14" t="s">
        <v>466</v>
      </c>
    </row>
    <row r="442" spans="1:14" ht="36">
      <c r="A442" s="4" t="s">
        <v>118</v>
      </c>
      <c r="B442" s="13">
        <v>2017</v>
      </c>
      <c r="C442" s="4" t="s">
        <v>467</v>
      </c>
      <c r="D442" s="15">
        <f>IF('Dados brutos atualizados'!E538="","",'Dados brutos atualizados'!E538)</f>
        <v>76446778.049999997</v>
      </c>
      <c r="E442" s="15">
        <f>IF(D442="","",D442*'Dados brutos atualizados'!G538)</f>
        <v>76446778.049999997</v>
      </c>
      <c r="F442" s="17">
        <f>IF(E442="","",Deflatores!E5)</f>
        <v>1.5058526397423999</v>
      </c>
      <c r="G442" s="15">
        <f t="shared" si="41"/>
        <v>115117582.52639385</v>
      </c>
      <c r="H442" s="15">
        <f>IF('Dados tratados'!E436="","",'Dados tratados'!E436)</f>
        <v>270383</v>
      </c>
      <c r="I442" s="15">
        <f t="shared" si="42"/>
        <v>425.7574719061252</v>
      </c>
      <c r="J442" s="14"/>
      <c r="K442" s="14" t="s">
        <v>417</v>
      </c>
      <c r="L442" s="14" t="s">
        <v>135</v>
      </c>
      <c r="M442" s="18" t="s">
        <v>541</v>
      </c>
      <c r="N442" s="14" t="s">
        <v>466</v>
      </c>
    </row>
    <row r="443" spans="1:14" ht="24">
      <c r="A443" s="4" t="s">
        <v>118</v>
      </c>
      <c r="B443" s="13">
        <v>2018</v>
      </c>
      <c r="C443" s="4" t="s">
        <v>416</v>
      </c>
      <c r="D443" s="15">
        <f>IF('Dados brutos atualizados'!E539="","",'Dados brutos atualizados'!E539)</f>
        <v>72867501.359999999</v>
      </c>
      <c r="E443" s="15">
        <f>IF(D443="","",D443*'Dados brutos atualizados'!G539)</f>
        <v>72867501.359999999</v>
      </c>
      <c r="F443" s="17">
        <f>IF(E443="","",Deflatores!E6)</f>
        <v>1.4526164226546885</v>
      </c>
      <c r="G443" s="15">
        <f t="shared" si="41"/>
        <v>105848529.15334885</v>
      </c>
      <c r="H443" s="15">
        <f>IF('Dados tratados'!E452="","",'Dados tratados'!E452)</f>
        <v>271926</v>
      </c>
      <c r="I443" s="15">
        <f t="shared" si="42"/>
        <v>389.25490447161673</v>
      </c>
      <c r="J443" s="14"/>
      <c r="K443" s="14" t="s">
        <v>417</v>
      </c>
      <c r="L443" s="14" t="s">
        <v>135</v>
      </c>
      <c r="M443" s="18" t="s">
        <v>544</v>
      </c>
      <c r="N443" s="14" t="s">
        <v>420</v>
      </c>
    </row>
    <row r="444" spans="1:14" ht="15.75">
      <c r="A444" s="4" t="s">
        <v>118</v>
      </c>
      <c r="B444" s="13">
        <v>2018</v>
      </c>
      <c r="C444" s="4" t="s">
        <v>422</v>
      </c>
      <c r="D444" s="15">
        <f>IF('Dados brutos atualizados'!E540="","",'Dados brutos atualizados'!E540)</f>
        <v>53.9</v>
      </c>
      <c r="E444" s="15">
        <f>IF(D444="","",D444*'Dados brutos atualizados'!G540)</f>
        <v>53.9</v>
      </c>
      <c r="F444" s="4"/>
      <c r="G444" s="14"/>
      <c r="H444" s="14"/>
      <c r="I444" s="14"/>
      <c r="J444" s="15">
        <f>IF(D444="","",D444)</f>
        <v>53.9</v>
      </c>
      <c r="K444" s="14" t="s">
        <v>423</v>
      </c>
      <c r="L444" s="14" t="s">
        <v>135</v>
      </c>
      <c r="M444" s="18" t="s">
        <v>545</v>
      </c>
      <c r="N444" s="14" t="s">
        <v>426</v>
      </c>
    </row>
    <row r="445" spans="1:14" ht="24">
      <c r="A445" s="4" t="s">
        <v>118</v>
      </c>
      <c r="B445" s="13">
        <v>2018</v>
      </c>
      <c r="C445" s="4" t="s">
        <v>428</v>
      </c>
      <c r="D445" s="15">
        <f>IF('Dados brutos atualizados'!E541="","",'Dados brutos atualizados'!E541)</f>
        <v>32635637.199999999</v>
      </c>
      <c r="E445" s="15">
        <f>IF(D445="","",D445*'Dados brutos atualizados'!G541)</f>
        <v>32635637.199999999</v>
      </c>
      <c r="F445" s="17">
        <f>IF(E445="","",Deflatores!E6)</f>
        <v>1.4526164226546885</v>
      </c>
      <c r="G445" s="15">
        <f t="shared" ref="G445:G451" si="43">IF(OR(E445="",F445=""),"",E445*F445)</f>
        <v>47407062.560520276</v>
      </c>
      <c r="H445" s="14"/>
      <c r="I445" s="14"/>
      <c r="J445" s="14"/>
      <c r="K445" s="14" t="s">
        <v>417</v>
      </c>
      <c r="L445" s="14" t="s">
        <v>431</v>
      </c>
      <c r="M445" s="18" t="s">
        <v>544</v>
      </c>
      <c r="N445" s="14" t="s">
        <v>432</v>
      </c>
    </row>
    <row r="446" spans="1:14" ht="15.75">
      <c r="A446" s="4" t="s">
        <v>118</v>
      </c>
      <c r="B446" s="13">
        <v>2018</v>
      </c>
      <c r="C446" s="4" t="s">
        <v>433</v>
      </c>
      <c r="D446" s="15">
        <f>IF('Dados brutos atualizados'!E542="","",'Dados brutos atualizados'!E542)</f>
        <v>551700178.61000001</v>
      </c>
      <c r="E446" s="15">
        <f>IF(D446="","",D446*'Dados brutos atualizados'!G542)</f>
        <v>551700178.61000001</v>
      </c>
      <c r="F446" s="17">
        <f>IF(E446="","",Deflatores!E6)</f>
        <v>1.4526164226546885</v>
      </c>
      <c r="G446" s="15">
        <f t="shared" si="43"/>
        <v>801408739.83041096</v>
      </c>
      <c r="H446" s="15">
        <f>IF('Dados tratados'!E452="","",'Dados tratados'!E452)</f>
        <v>271926</v>
      </c>
      <c r="I446" s="15">
        <f>IF(OR(G446="",H446="",H446=0),"",G446/H446)</f>
        <v>2947.157461332903</v>
      </c>
      <c r="J446" s="14"/>
      <c r="K446" s="14" t="s">
        <v>417</v>
      </c>
      <c r="L446" s="14" t="s">
        <v>135</v>
      </c>
      <c r="M446" s="18" t="s">
        <v>546</v>
      </c>
      <c r="N446" s="14" t="s">
        <v>436</v>
      </c>
    </row>
    <row r="447" spans="1:14" ht="15.75">
      <c r="A447" s="4" t="s">
        <v>118</v>
      </c>
      <c r="B447" s="13">
        <v>2018</v>
      </c>
      <c r="C447" s="4" t="s">
        <v>438</v>
      </c>
      <c r="D447" s="15">
        <f>IF('Dados brutos atualizados'!E543="","",'Dados brutos atualizados'!E543)</f>
        <v>529043680.27999997</v>
      </c>
      <c r="E447" s="15">
        <f>IF(D447="","",D447*'Dados brutos atualizados'!G543)</f>
        <v>529043680.27999997</v>
      </c>
      <c r="F447" s="17">
        <f>IF(E447="","",Deflatores!E6)</f>
        <v>1.4526164226546885</v>
      </c>
      <c r="G447" s="15">
        <f t="shared" si="43"/>
        <v>768497538.27640438</v>
      </c>
      <c r="H447" s="15">
        <f>IF('Dados tratados'!E452="","",'Dados tratados'!E452)</f>
        <v>271926</v>
      </c>
      <c r="I447" s="15">
        <f>IF(OR(G447="",H447="",H447=0),"",G447/H447)</f>
        <v>2826.1274695189295</v>
      </c>
      <c r="J447" s="14"/>
      <c r="K447" s="14" t="s">
        <v>417</v>
      </c>
      <c r="L447" s="14" t="s">
        <v>135</v>
      </c>
      <c r="M447" s="18" t="s">
        <v>546</v>
      </c>
      <c r="N447" s="14" t="s">
        <v>436</v>
      </c>
    </row>
    <row r="448" spans="1:14" ht="15.75">
      <c r="A448" s="4" t="s">
        <v>118</v>
      </c>
      <c r="B448" s="13">
        <v>2018</v>
      </c>
      <c r="C448" s="4" t="s">
        <v>440</v>
      </c>
      <c r="D448" s="15">
        <f>IF('Dados brutos atualizados'!E544="","",'Dados brutos atualizados'!E544)</f>
        <v>502676917.94</v>
      </c>
      <c r="E448" s="15">
        <f>IF(D448="","",D448*'Dados brutos atualizados'!G544)</f>
        <v>502676917.94</v>
      </c>
      <c r="F448" s="17">
        <f>IF(E448="","",Deflatores!E6)</f>
        <v>1.4526164226546885</v>
      </c>
      <c r="G448" s="15">
        <f t="shared" si="43"/>
        <v>730196746.28908718</v>
      </c>
      <c r="H448" s="15">
        <f>IF('Dados tratados'!E452="","",'Dados tratados'!E452)</f>
        <v>271926</v>
      </c>
      <c r="I448" s="15">
        <f>IF(OR(G448="",H448="",H448=0),"",G448/H448)</f>
        <v>2685.2774147712507</v>
      </c>
      <c r="J448" s="14"/>
      <c r="K448" s="14" t="s">
        <v>417</v>
      </c>
      <c r="L448" s="14" t="s">
        <v>135</v>
      </c>
      <c r="M448" s="18" t="s">
        <v>546</v>
      </c>
      <c r="N448" s="14" t="s">
        <v>436</v>
      </c>
    </row>
    <row r="449" spans="1:14" ht="15.75">
      <c r="A449" s="4" t="s">
        <v>118</v>
      </c>
      <c r="B449" s="13">
        <v>2018</v>
      </c>
      <c r="C449" s="4" t="s">
        <v>442</v>
      </c>
      <c r="D449" s="15">
        <f>IF('Dados brutos atualizados'!E545="","",'Dados brutos atualizados'!E545)</f>
        <v>266754618.03999999</v>
      </c>
      <c r="E449" s="15">
        <f>IF(D449="","",D449*'Dados brutos atualizados'!G545)</f>
        <v>266754618.03999999</v>
      </c>
      <c r="F449" s="17">
        <f>IF(E449="","",Deflatores!E6)</f>
        <v>1.4526164226546885</v>
      </c>
      <c r="G449" s="15">
        <f t="shared" si="43"/>
        <v>387492138.98388261</v>
      </c>
      <c r="H449" s="15">
        <f>IF('Dados tratados'!E452="","",'Dados tratados'!E452)</f>
        <v>271926</v>
      </c>
      <c r="I449" s="15">
        <f>IF(OR(G449="",H449="",H449=0),"",G449/H449)</f>
        <v>1424.9911335579629</v>
      </c>
      <c r="J449" s="14"/>
      <c r="K449" s="14" t="s">
        <v>417</v>
      </c>
      <c r="L449" s="14" t="s">
        <v>135</v>
      </c>
      <c r="M449" s="18" t="s">
        <v>545</v>
      </c>
      <c r="N449" s="14" t="s">
        <v>444</v>
      </c>
    </row>
    <row r="450" spans="1:14" ht="24">
      <c r="A450" s="4" t="s">
        <v>118</v>
      </c>
      <c r="B450" s="13">
        <v>2018</v>
      </c>
      <c r="C450" s="4" t="s">
        <v>394</v>
      </c>
      <c r="D450" s="15">
        <f>IF('Dados brutos atualizados'!E546="","",'Dados brutos atualizados'!E546)</f>
        <v>4815934.9560000002</v>
      </c>
      <c r="E450" s="15">
        <f>IF(D450="","",D450*'Dados brutos atualizados'!G546)</f>
        <v>4815934956</v>
      </c>
      <c r="F450" s="17">
        <f>IF(E450="","",Deflatores!E6)</f>
        <v>1.4526164226546885</v>
      </c>
      <c r="G450" s="15">
        <f t="shared" si="43"/>
        <v>6995706207.5223846</v>
      </c>
      <c r="H450" s="15">
        <f>IF('Dados tratados'!E452="","",'Dados tratados'!E452)</f>
        <v>271926</v>
      </c>
      <c r="I450" s="15">
        <f>IF(OR(G450="",H450="",H450=0),"",G450/H450)</f>
        <v>25726.507239184135</v>
      </c>
      <c r="J450" s="14"/>
      <c r="K450" s="14" t="s">
        <v>395</v>
      </c>
      <c r="L450" s="14" t="s">
        <v>135</v>
      </c>
      <c r="M450" s="18" t="s">
        <v>399</v>
      </c>
      <c r="N450" s="14" t="s">
        <v>398</v>
      </c>
    </row>
    <row r="451" spans="1:14" ht="24">
      <c r="A451" s="4" t="s">
        <v>118</v>
      </c>
      <c r="B451" s="13">
        <v>2018</v>
      </c>
      <c r="C451" s="4" t="s">
        <v>400</v>
      </c>
      <c r="D451" s="15">
        <f>IF('Dados brutos atualizados'!E547="","",'Dados brutos atualizados'!E547)</f>
        <v>17710.46</v>
      </c>
      <c r="E451" s="15">
        <f>IF(D451="","",D451*'Dados brutos atualizados'!G547)</f>
        <v>17710.46</v>
      </c>
      <c r="F451" s="17">
        <f>IF(E451="","",Deflatores!E6)</f>
        <v>1.4526164226546885</v>
      </c>
      <c r="G451" s="15">
        <f t="shared" si="43"/>
        <v>25726.505048768951</v>
      </c>
      <c r="H451" s="14"/>
      <c r="I451" s="14"/>
      <c r="J451" s="14"/>
      <c r="K451" s="14" t="s">
        <v>401</v>
      </c>
      <c r="L451" s="14" t="s">
        <v>135</v>
      </c>
      <c r="M451" s="18" t="s">
        <v>399</v>
      </c>
      <c r="N451" s="14" t="s">
        <v>404</v>
      </c>
    </row>
    <row r="452" spans="1:14" ht="15.75">
      <c r="A452" s="4" t="s">
        <v>118</v>
      </c>
      <c r="B452" s="13">
        <v>2018</v>
      </c>
      <c r="C452" s="4" t="s">
        <v>445</v>
      </c>
      <c r="D452" s="15">
        <f>IF('Dados brutos atualizados'!E548="","",'Dados brutos atualizados'!E548)</f>
        <v>271926</v>
      </c>
      <c r="E452" s="15">
        <f>IF(D452="","",D452*'Dados brutos atualizados'!G548)</f>
        <v>271926</v>
      </c>
      <c r="F452" s="4"/>
      <c r="G452" s="14"/>
      <c r="H452" s="14"/>
      <c r="I452" s="14"/>
      <c r="J452" s="15">
        <f>IF(D452="","",D452)</f>
        <v>271926</v>
      </c>
      <c r="K452" s="14" t="s">
        <v>446</v>
      </c>
      <c r="L452" s="14" t="s">
        <v>449</v>
      </c>
      <c r="M452" s="18" t="s">
        <v>540</v>
      </c>
      <c r="N452" s="14" t="s">
        <v>450</v>
      </c>
    </row>
    <row r="453" spans="1:14" ht="15.75">
      <c r="A453" s="4" t="s">
        <v>118</v>
      </c>
      <c r="B453" s="13">
        <v>2018</v>
      </c>
      <c r="C453" s="4" t="s">
        <v>452</v>
      </c>
      <c r="D453" s="15">
        <f>IF('Dados brutos atualizados'!E549="","",'Dados brutos atualizados'!E549)</f>
        <v>494888166</v>
      </c>
      <c r="E453" s="15">
        <f>IF(D453="","",D453*'Dados brutos atualizados'!G549)</f>
        <v>494888166</v>
      </c>
      <c r="F453" s="17">
        <f>IF(E453="","",Deflatores!E6)</f>
        <v>1.4526164226546885</v>
      </c>
      <c r="G453" s="15">
        <f t="shared" ref="G453:G459" si="44">IF(OR(E453="",F453=""),"",E453*F453)</f>
        <v>718882677.30905962</v>
      </c>
      <c r="H453" s="15">
        <f>IF('Dados tratados'!E452="","",'Dados tratados'!E452)</f>
        <v>271926</v>
      </c>
      <c r="I453" s="15">
        <f t="shared" ref="I453:I459" si="45">IF(OR(G453="",H453="",H453=0),"",G453/H453)</f>
        <v>2643.6702533375242</v>
      </c>
      <c r="J453" s="14"/>
      <c r="K453" s="14" t="s">
        <v>417</v>
      </c>
      <c r="L453" s="14" t="s">
        <v>135</v>
      </c>
      <c r="M453" s="18" t="s">
        <v>545</v>
      </c>
      <c r="N453" s="14" t="s">
        <v>455</v>
      </c>
    </row>
    <row r="454" spans="1:14" ht="15.75">
      <c r="A454" s="4" t="s">
        <v>118</v>
      </c>
      <c r="B454" s="13">
        <v>2018</v>
      </c>
      <c r="C454" s="4" t="s">
        <v>456</v>
      </c>
      <c r="D454" s="15">
        <f>IF('Dados brutos atualizados'!E550="","",'Dados brutos atualizados'!E550)</f>
        <v>494888166</v>
      </c>
      <c r="E454" s="15">
        <f>IF(D454="","",D454*'Dados brutos atualizados'!G550)</f>
        <v>494888166</v>
      </c>
      <c r="F454" s="17">
        <f>IF(E454="","",Deflatores!E6)</f>
        <v>1.4526164226546885</v>
      </c>
      <c r="G454" s="15">
        <f t="shared" si="44"/>
        <v>718882677.30905962</v>
      </c>
      <c r="H454" s="15">
        <f>IF('Dados tratados'!E452="","",'Dados tratados'!E452)</f>
        <v>271926</v>
      </c>
      <c r="I454" s="15">
        <f t="shared" si="45"/>
        <v>2643.6702533375242</v>
      </c>
      <c r="J454" s="14"/>
      <c r="K454" s="14" t="s">
        <v>417</v>
      </c>
      <c r="L454" s="14" t="s">
        <v>135</v>
      </c>
      <c r="M454" s="18" t="s">
        <v>545</v>
      </c>
      <c r="N454" s="14" t="s">
        <v>459</v>
      </c>
    </row>
    <row r="455" spans="1:14" ht="15.75">
      <c r="A455" s="4" t="s">
        <v>118</v>
      </c>
      <c r="B455" s="13">
        <v>2018</v>
      </c>
      <c r="C455" s="4" t="s">
        <v>460</v>
      </c>
      <c r="D455" s="15">
        <f>IF('Dados brutos atualizados'!E551="","",'Dados brutos atualizados'!E551)</f>
        <v>582217089.00999999</v>
      </c>
      <c r="E455" s="15">
        <f>IF(D455="","",D455*'Dados brutos atualizados'!G551)</f>
        <v>582217089.00999999</v>
      </c>
      <c r="F455" s="17">
        <f>IF(E455="","",Deflatores!E6)</f>
        <v>1.4526164226546885</v>
      </c>
      <c r="G455" s="15">
        <f t="shared" si="44"/>
        <v>845738105.04613256</v>
      </c>
      <c r="H455" s="15">
        <f>IF('Dados tratados'!E452="","",'Dados tratados'!E452)</f>
        <v>271926</v>
      </c>
      <c r="I455" s="15">
        <f t="shared" si="45"/>
        <v>3110.177419761746</v>
      </c>
      <c r="J455" s="14"/>
      <c r="K455" s="14" t="s">
        <v>417</v>
      </c>
      <c r="L455" s="14" t="s">
        <v>135</v>
      </c>
      <c r="M455" s="18" t="s">
        <v>544</v>
      </c>
      <c r="N455" s="14" t="s">
        <v>462</v>
      </c>
    </row>
    <row r="456" spans="1:14" ht="24">
      <c r="A456" s="4" t="s">
        <v>118</v>
      </c>
      <c r="B456" s="13">
        <v>2018</v>
      </c>
      <c r="C456" s="4" t="s">
        <v>592</v>
      </c>
      <c r="D456" s="15">
        <f>IF(OR('Dados tratados'!E455="",'Dados tratados'!E445=""),"",'Dados tratados'!E455-'Dados tratados'!E445)</f>
        <v>549581451.80999994</v>
      </c>
      <c r="E456" s="15">
        <f>IF(D456="","",D456)</f>
        <v>549581451.80999994</v>
      </c>
      <c r="F456" s="17">
        <f>IF(E456="","",Deflatores!E6)</f>
        <v>1.4526164226546885</v>
      </c>
      <c r="G456" s="15">
        <f t="shared" si="44"/>
        <v>798331042.48561215</v>
      </c>
      <c r="H456" s="15">
        <f>IF('Dados tratados'!E452="","",'Dados tratados'!E452)</f>
        <v>271926</v>
      </c>
      <c r="I456" s="15">
        <f t="shared" si="45"/>
        <v>2935.8393183645999</v>
      </c>
      <c r="J456" s="14"/>
      <c r="K456" s="14" t="s">
        <v>417</v>
      </c>
      <c r="L456" s="14" t="s">
        <v>593</v>
      </c>
      <c r="M456" s="18" t="s">
        <v>594</v>
      </c>
      <c r="N456" s="14" t="s">
        <v>595</v>
      </c>
    </row>
    <row r="457" spans="1:14" ht="36">
      <c r="A457" s="4" t="s">
        <v>118</v>
      </c>
      <c r="B457" s="13">
        <v>2018</v>
      </c>
      <c r="C457" s="4" t="s">
        <v>463</v>
      </c>
      <c r="D457" s="15">
        <f>IF('Dados brutos atualizados'!E552="","",'Dados brutos atualizados'!E552)</f>
        <v>214382173.94999999</v>
      </c>
      <c r="E457" s="15">
        <f>IF(D457="","",D457*'Dados brutos atualizados'!G552)</f>
        <v>214382173.94999999</v>
      </c>
      <c r="F457" s="17">
        <f>IF(E457="","",Deflatores!E6)</f>
        <v>1.4526164226546885</v>
      </c>
      <c r="G457" s="15">
        <f t="shared" si="44"/>
        <v>311415066.60418415</v>
      </c>
      <c r="H457" s="15">
        <f>IF('Dados tratados'!E452="","",'Dados tratados'!E452)</f>
        <v>271926</v>
      </c>
      <c r="I457" s="15">
        <f t="shared" si="45"/>
        <v>1145.2199002823716</v>
      </c>
      <c r="J457" s="14"/>
      <c r="K457" s="14" t="s">
        <v>417</v>
      </c>
      <c r="L457" s="14" t="s">
        <v>135</v>
      </c>
      <c r="M457" s="18" t="s">
        <v>544</v>
      </c>
      <c r="N457" s="14" t="s">
        <v>466</v>
      </c>
    </row>
    <row r="458" spans="1:14" ht="36">
      <c r="A458" s="4" t="s">
        <v>118</v>
      </c>
      <c r="B458" s="13">
        <v>2018</v>
      </c>
      <c r="C458" s="4" t="s">
        <v>467</v>
      </c>
      <c r="D458" s="15">
        <f>IF('Dados brutos atualizados'!E553="","",'Dados brutos atualizados'!E553)</f>
        <v>79412752.189999998</v>
      </c>
      <c r="E458" s="15">
        <f>IF(D458="","",D458*'Dados brutos atualizados'!G553)</f>
        <v>79412752.189999998</v>
      </c>
      <c r="F458" s="17">
        <f>IF(E458="","",Deflatores!E6)</f>
        <v>1.4526164226546885</v>
      </c>
      <c r="G458" s="15">
        <f t="shared" si="44"/>
        <v>115356267.99940108</v>
      </c>
      <c r="H458" s="15">
        <f>IF('Dados tratados'!E452="","",'Dados tratados'!E452)</f>
        <v>271926</v>
      </c>
      <c r="I458" s="15">
        <f t="shared" si="45"/>
        <v>424.21933908269557</v>
      </c>
      <c r="J458" s="14"/>
      <c r="K458" s="14" t="s">
        <v>417</v>
      </c>
      <c r="L458" s="14" t="s">
        <v>135</v>
      </c>
      <c r="M458" s="18" t="s">
        <v>544</v>
      </c>
      <c r="N458" s="14" t="s">
        <v>466</v>
      </c>
    </row>
    <row r="459" spans="1:14" ht="24">
      <c r="A459" s="4" t="s">
        <v>118</v>
      </c>
      <c r="B459" s="13">
        <v>2019</v>
      </c>
      <c r="C459" s="4" t="s">
        <v>416</v>
      </c>
      <c r="D459" s="15">
        <f>IF('Dados brutos atualizados'!E554="","",'Dados brutos atualizados'!E554)</f>
        <v>79537370.480000004</v>
      </c>
      <c r="E459" s="15">
        <f>IF(D459="","",D459*'Dados brutos atualizados'!G554)</f>
        <v>79537370.480000004</v>
      </c>
      <c r="F459" s="17">
        <f>IF(E459="","",Deflatores!E7)</f>
        <v>1.4003419893049238</v>
      </c>
      <c r="G459" s="15">
        <f t="shared" si="44"/>
        <v>111379519.60204592</v>
      </c>
      <c r="H459" s="15">
        <f>IF('Dados tratados'!E474="","",'Dados tratados'!E474)</f>
        <v>274207</v>
      </c>
      <c r="I459" s="15">
        <f t="shared" si="45"/>
        <v>406.18773263281361</v>
      </c>
      <c r="J459" s="14"/>
      <c r="K459" s="14" t="s">
        <v>417</v>
      </c>
      <c r="L459" s="14" t="s">
        <v>135</v>
      </c>
      <c r="M459" s="18" t="s">
        <v>547</v>
      </c>
      <c r="N459" s="14" t="s">
        <v>420</v>
      </c>
    </row>
    <row r="460" spans="1:14" ht="15.75">
      <c r="A460" s="4" t="s">
        <v>118</v>
      </c>
      <c r="B460" s="13">
        <v>2019</v>
      </c>
      <c r="C460" s="4" t="s">
        <v>422</v>
      </c>
      <c r="D460" s="15">
        <f>IF('Dados brutos atualizados'!E555="","",'Dados brutos atualizados'!E555)</f>
        <v>52.97</v>
      </c>
      <c r="E460" s="15">
        <f>IF(D460="","",D460*'Dados brutos atualizados'!G555)</f>
        <v>52.97</v>
      </c>
      <c r="F460" s="4"/>
      <c r="G460" s="14"/>
      <c r="H460" s="14"/>
      <c r="I460" s="14"/>
      <c r="J460" s="15">
        <f>IF(D460="","",D460)</f>
        <v>52.97</v>
      </c>
      <c r="K460" s="14" t="s">
        <v>423</v>
      </c>
      <c r="L460" s="14" t="s">
        <v>135</v>
      </c>
      <c r="M460" s="18" t="s">
        <v>548</v>
      </c>
      <c r="N460" s="14" t="s">
        <v>426</v>
      </c>
    </row>
    <row r="461" spans="1:14" ht="24">
      <c r="A461" s="4" t="s">
        <v>118</v>
      </c>
      <c r="B461" s="13">
        <v>2019</v>
      </c>
      <c r="C461" s="4" t="s">
        <v>428</v>
      </c>
      <c r="D461" s="15">
        <f>IF('Dados brutos atualizados'!E556="","",'Dados brutos atualizados'!E556)</f>
        <v>34860027.539999999</v>
      </c>
      <c r="E461" s="15">
        <f>IF(D461="","",D461*'Dados brutos atualizados'!G556)</f>
        <v>34860027.539999999</v>
      </c>
      <c r="F461" s="17">
        <f>IF(E461="","",Deflatores!E7)</f>
        <v>1.4003419893049238</v>
      </c>
      <c r="G461" s="15">
        <f>IF(OR(E461="",F461=""),"",E461*F461)</f>
        <v>48815960.312588029</v>
      </c>
      <c r="H461" s="14"/>
      <c r="I461" s="14"/>
      <c r="J461" s="14"/>
      <c r="K461" s="14" t="s">
        <v>417</v>
      </c>
      <c r="L461" s="14" t="s">
        <v>431</v>
      </c>
      <c r="M461" s="18" t="s">
        <v>547</v>
      </c>
      <c r="N461" s="14" t="s">
        <v>432</v>
      </c>
    </row>
    <row r="462" spans="1:14" ht="15.75">
      <c r="A462" s="4" t="s">
        <v>118</v>
      </c>
      <c r="B462" s="13">
        <v>2019</v>
      </c>
      <c r="C462" s="4" t="s">
        <v>433</v>
      </c>
      <c r="D462" s="15">
        <f>IF('Dados brutos atualizados'!E557="","",'Dados brutos atualizados'!E557)</f>
        <v>592896971.78999996</v>
      </c>
      <c r="E462" s="15">
        <f>IF(D462="","",D462*'Dados brutos atualizados'!G557)</f>
        <v>592896971.78999996</v>
      </c>
      <c r="F462" s="17">
        <f>IF(E462="","",Deflatores!E7)</f>
        <v>1.4003419893049238</v>
      </c>
      <c r="G462" s="15">
        <f>IF(OR(E462="",F462=""),"",E462*F462)</f>
        <v>830258524.92927384</v>
      </c>
      <c r="H462" s="15">
        <f>IF('Dados tratados'!E474="","",'Dados tratados'!E474)</f>
        <v>274207</v>
      </c>
      <c r="I462" s="15">
        <f>IF(OR(G462="",H462="",H462=0),"",G462/H462)</f>
        <v>3027.8531362411386</v>
      </c>
      <c r="J462" s="14"/>
      <c r="K462" s="14" t="s">
        <v>417</v>
      </c>
      <c r="L462" s="14" t="s">
        <v>135</v>
      </c>
      <c r="M462" s="18" t="s">
        <v>549</v>
      </c>
      <c r="N462" s="14" t="s">
        <v>436</v>
      </c>
    </row>
    <row r="463" spans="1:14" ht="15.75">
      <c r="A463" s="4" t="s">
        <v>118</v>
      </c>
      <c r="B463" s="13">
        <v>2019</v>
      </c>
      <c r="C463" s="4" t="s">
        <v>438</v>
      </c>
      <c r="D463" s="15">
        <f>IF('Dados brutos atualizados'!E558="","",'Dados brutos atualizados'!E558)</f>
        <v>560619608.60000002</v>
      </c>
      <c r="E463" s="15">
        <f>IF(D463="","",D463*'Dados brutos atualizados'!G558)</f>
        <v>560619608.60000002</v>
      </c>
      <c r="F463" s="17">
        <f>IF(E463="","",Deflatores!E7)</f>
        <v>1.4003419893049238</v>
      </c>
      <c r="G463" s="15">
        <f>IF(OR(E463="",F463=""),"",E463*F463)</f>
        <v>785059177.95027184</v>
      </c>
      <c r="H463" s="15">
        <f>IF('Dados tratados'!E474="","",'Dados tratados'!E474)</f>
        <v>274207</v>
      </c>
      <c r="I463" s="15">
        <f>IF(OR(G463="",H463="",H463=0),"",G463/H463)</f>
        <v>2863.0165457128078</v>
      </c>
      <c r="J463" s="14"/>
      <c r="K463" s="14" t="s">
        <v>417</v>
      </c>
      <c r="L463" s="14" t="s">
        <v>135</v>
      </c>
      <c r="M463" s="18" t="s">
        <v>549</v>
      </c>
      <c r="N463" s="14" t="s">
        <v>436</v>
      </c>
    </row>
    <row r="464" spans="1:14" ht="15.75">
      <c r="A464" s="4" t="s">
        <v>118</v>
      </c>
      <c r="B464" s="13">
        <v>2019</v>
      </c>
      <c r="C464" s="4" t="s">
        <v>440</v>
      </c>
      <c r="D464" s="15">
        <f>IF('Dados brutos atualizados'!E559="","",'Dados brutos atualizados'!E559)</f>
        <v>521987902.24000001</v>
      </c>
      <c r="E464" s="15">
        <f>IF(D464="","",D464*'Dados brutos atualizados'!G559)</f>
        <v>521987902.24000001</v>
      </c>
      <c r="F464" s="17">
        <f>IF(E464="","",Deflatores!E7)</f>
        <v>1.4003419893049238</v>
      </c>
      <c r="G464" s="15">
        <f>IF(OR(E464="",F464=""),"",E464*F464)</f>
        <v>730961577.41586566</v>
      </c>
      <c r="H464" s="15">
        <f>IF('Dados tratados'!E474="","",'Dados tratados'!E474)</f>
        <v>274207</v>
      </c>
      <c r="I464" s="15">
        <f>IF(OR(G464="",H464="",H464=0),"",G464/H464)</f>
        <v>2665.7290930423574</v>
      </c>
      <c r="J464" s="14"/>
      <c r="K464" s="14" t="s">
        <v>417</v>
      </c>
      <c r="L464" s="14" t="s">
        <v>135</v>
      </c>
      <c r="M464" s="18" t="s">
        <v>549</v>
      </c>
      <c r="N464" s="14" t="s">
        <v>436</v>
      </c>
    </row>
    <row r="465" spans="1:14" ht="15.75">
      <c r="A465" s="4" t="s">
        <v>118</v>
      </c>
      <c r="B465" s="13">
        <v>2019</v>
      </c>
      <c r="C465" s="4" t="s">
        <v>442</v>
      </c>
      <c r="D465" s="15">
        <f>IF('Dados brutos atualizados'!E560="","",'Dados brutos atualizados'!E560)</f>
        <v>286296307.11000001</v>
      </c>
      <c r="E465" s="15">
        <f>IF(D465="","",D465*'Dados brutos atualizados'!G560)</f>
        <v>286296307.11000001</v>
      </c>
      <c r="F465" s="17">
        <f>IF(E465="","",Deflatores!E7)</f>
        <v>1.4003419893049238</v>
      </c>
      <c r="G465" s="15">
        <f>IF(OR(E465="",F465=""),"",E465*F465)</f>
        <v>400912740.22907084</v>
      </c>
      <c r="H465" s="15">
        <f>IF('Dados tratados'!E474="","",'Dados tratados'!E474)</f>
        <v>274207</v>
      </c>
      <c r="I465" s="15">
        <f>IF(OR(G465="",H465="",H465=0),"",G465/H465)</f>
        <v>1462.0806187627261</v>
      </c>
      <c r="J465" s="14"/>
      <c r="K465" s="14" t="s">
        <v>417</v>
      </c>
      <c r="L465" s="14" t="s">
        <v>135</v>
      </c>
      <c r="M465" s="18" t="s">
        <v>548</v>
      </c>
      <c r="N465" s="14" t="s">
        <v>444</v>
      </c>
    </row>
    <row r="466" spans="1:14" ht="15.75">
      <c r="A466" s="4" t="s">
        <v>118</v>
      </c>
      <c r="B466" s="13">
        <v>2019</v>
      </c>
      <c r="C466" s="4" t="s">
        <v>374</v>
      </c>
      <c r="D466" s="15">
        <f>IF('Dados brutos atualizados'!E561="","",'Dados brutos atualizados'!E561)</f>
        <v>5.2098329999999997</v>
      </c>
      <c r="E466" s="15">
        <f>IF(D466="","",D466*'Dados brutos atualizados'!G561)</f>
        <v>5.2098329999999997</v>
      </c>
      <c r="F466" s="4"/>
      <c r="G466" s="14"/>
      <c r="H466" s="14"/>
      <c r="I466" s="14"/>
      <c r="J466" s="15">
        <f t="shared" ref="J466:J471" si="46">IF(D466="","",D466)</f>
        <v>5.2098329999999997</v>
      </c>
      <c r="K466" s="14" t="s">
        <v>375</v>
      </c>
      <c r="L466" s="14" t="s">
        <v>378</v>
      </c>
      <c r="M466" s="18" t="s">
        <v>380</v>
      </c>
      <c r="N466" s="14" t="s">
        <v>379</v>
      </c>
    </row>
    <row r="467" spans="1:14" ht="15.75">
      <c r="A467" s="4" t="s">
        <v>118</v>
      </c>
      <c r="B467" s="13">
        <v>2019</v>
      </c>
      <c r="C467" s="4" t="s">
        <v>381</v>
      </c>
      <c r="D467" s="15">
        <f>IF('Dados brutos atualizados'!E562="","",'Dados brutos atualizados'!E562)</f>
        <v>5.6275649999999997</v>
      </c>
      <c r="E467" s="15">
        <f>IF(D467="","",D467*'Dados brutos atualizados'!G562)</f>
        <v>5.6275649999999997</v>
      </c>
      <c r="F467" s="4"/>
      <c r="G467" s="14"/>
      <c r="H467" s="14"/>
      <c r="I467" s="14"/>
      <c r="J467" s="15">
        <f t="shared" si="46"/>
        <v>5.6275649999999997</v>
      </c>
      <c r="K467" s="14" t="s">
        <v>375</v>
      </c>
      <c r="L467" s="14" t="s">
        <v>378</v>
      </c>
      <c r="M467" s="18" t="s">
        <v>382</v>
      </c>
      <c r="N467" s="14" t="s">
        <v>379</v>
      </c>
    </row>
    <row r="468" spans="1:14" ht="15.75">
      <c r="A468" s="4" t="s">
        <v>118</v>
      </c>
      <c r="B468" s="13">
        <v>2019</v>
      </c>
      <c r="C468" s="4" t="s">
        <v>383</v>
      </c>
      <c r="D468" s="15">
        <f>IF('Dados brutos atualizados'!E563="","",'Dados brutos atualizados'!E563)</f>
        <v>0.92900700000000003</v>
      </c>
      <c r="E468" s="15">
        <f>IF(D468="","",D468*'Dados brutos atualizados'!G563)</f>
        <v>0.92900700000000003</v>
      </c>
      <c r="F468" s="4"/>
      <c r="G468" s="14"/>
      <c r="H468" s="14"/>
      <c r="I468" s="14"/>
      <c r="J468" s="15">
        <f t="shared" si="46"/>
        <v>0.92900700000000003</v>
      </c>
      <c r="K468" s="14" t="s">
        <v>384</v>
      </c>
      <c r="L468" s="14" t="s">
        <v>378</v>
      </c>
      <c r="M468" s="18" t="s">
        <v>380</v>
      </c>
      <c r="N468" s="14" t="s">
        <v>379</v>
      </c>
    </row>
    <row r="469" spans="1:14" ht="15.75">
      <c r="A469" s="4" t="s">
        <v>118</v>
      </c>
      <c r="B469" s="13">
        <v>2019</v>
      </c>
      <c r="C469" s="4" t="s">
        <v>386</v>
      </c>
      <c r="D469" s="15">
        <f>IF('Dados brutos atualizados'!E564="","",'Dados brutos atualizados'!E564)</f>
        <v>0.97673500000000002</v>
      </c>
      <c r="E469" s="15">
        <f>IF(D469="","",D469*'Dados brutos atualizados'!G564)</f>
        <v>0.97673500000000002</v>
      </c>
      <c r="F469" s="4"/>
      <c r="G469" s="14"/>
      <c r="H469" s="14"/>
      <c r="I469" s="14"/>
      <c r="J469" s="15">
        <f t="shared" si="46"/>
        <v>0.97673500000000002</v>
      </c>
      <c r="K469" s="14" t="s">
        <v>384</v>
      </c>
      <c r="L469" s="14" t="s">
        <v>378</v>
      </c>
      <c r="M469" s="18" t="s">
        <v>382</v>
      </c>
      <c r="N469" s="14" t="s">
        <v>379</v>
      </c>
    </row>
    <row r="470" spans="1:14" ht="24">
      <c r="A470" s="4" t="s">
        <v>118</v>
      </c>
      <c r="B470" s="13">
        <v>2019</v>
      </c>
      <c r="C470" s="4" t="s">
        <v>587</v>
      </c>
      <c r="D470" s="15">
        <f>IF(OR('Dados brutos atualizados'!E563="",'Dados brutos atualizados'!E561=""),"",'Dados brutos atualizados'!E563*'Dados brutos atualizados'!E561)</f>
        <v>4.8399713258309998</v>
      </c>
      <c r="E470" s="15">
        <f>IF(D470="","",D470)</f>
        <v>4.8399713258309998</v>
      </c>
      <c r="F470" s="4"/>
      <c r="G470" s="14"/>
      <c r="H470" s="14"/>
      <c r="I470" s="14"/>
      <c r="J470" s="15">
        <f t="shared" si="46"/>
        <v>4.8399713258309998</v>
      </c>
      <c r="K470" s="14" t="s">
        <v>588</v>
      </c>
      <c r="L470" s="14" t="s">
        <v>589</v>
      </c>
      <c r="M470" s="18" t="s">
        <v>380</v>
      </c>
      <c r="N470" s="14" t="s">
        <v>590</v>
      </c>
    </row>
    <row r="471" spans="1:14" ht="24">
      <c r="A471" s="4" t="s">
        <v>118</v>
      </c>
      <c r="B471" s="13">
        <v>2019</v>
      </c>
      <c r="C471" s="4" t="s">
        <v>591</v>
      </c>
      <c r="D471" s="15">
        <f>IF(OR('Dados brutos atualizados'!E564="",'Dados brutos atualizados'!E562=""),"",'Dados brutos atualizados'!E564*'Dados brutos atualizados'!E562)</f>
        <v>5.4966397002749998</v>
      </c>
      <c r="E471" s="15">
        <f>IF(D471="","",D471)</f>
        <v>5.4966397002749998</v>
      </c>
      <c r="F471" s="4"/>
      <c r="G471" s="14"/>
      <c r="H471" s="14"/>
      <c r="I471" s="14"/>
      <c r="J471" s="15">
        <f t="shared" si="46"/>
        <v>5.4966397002749998</v>
      </c>
      <c r="K471" s="14" t="s">
        <v>588</v>
      </c>
      <c r="L471" s="14" t="s">
        <v>589</v>
      </c>
      <c r="M471" s="18" t="s">
        <v>382</v>
      </c>
      <c r="N471" s="14" t="s">
        <v>590</v>
      </c>
    </row>
    <row r="472" spans="1:14" ht="24">
      <c r="A472" s="4" t="s">
        <v>118</v>
      </c>
      <c r="B472" s="13">
        <v>2019</v>
      </c>
      <c r="C472" s="4" t="s">
        <v>394</v>
      </c>
      <c r="D472" s="15">
        <f>IF('Dados brutos atualizados'!E565="","",'Dados brutos atualizados'!E565)</f>
        <v>4868984.2259999998</v>
      </c>
      <c r="E472" s="15">
        <f>IF(D472="","",D472*'Dados brutos atualizados'!G565)</f>
        <v>4868984226</v>
      </c>
      <c r="F472" s="17">
        <f>IF(E472="","",Deflatores!E7)</f>
        <v>1.4003419893049238</v>
      </c>
      <c r="G472" s="15">
        <f>IF(OR(E472="",F472=""),"",E472*F472)</f>
        <v>6818243056.9311352</v>
      </c>
      <c r="H472" s="15">
        <f>IF('Dados tratados'!E474="","",'Dados tratados'!E474)</f>
        <v>274207</v>
      </c>
      <c r="I472" s="15">
        <f>IF(OR(G472="",H472="",H472=0),"",G472/H472)</f>
        <v>24865.313638715041</v>
      </c>
      <c r="J472" s="14"/>
      <c r="K472" s="14" t="s">
        <v>395</v>
      </c>
      <c r="L472" s="14" t="s">
        <v>135</v>
      </c>
      <c r="M472" s="18" t="s">
        <v>399</v>
      </c>
      <c r="N472" s="14" t="s">
        <v>398</v>
      </c>
    </row>
    <row r="473" spans="1:14" ht="24">
      <c r="A473" s="4" t="s">
        <v>118</v>
      </c>
      <c r="B473" s="13">
        <v>2019</v>
      </c>
      <c r="C473" s="4" t="s">
        <v>400</v>
      </c>
      <c r="D473" s="15">
        <f>IF('Dados brutos atualizados'!E566="","",'Dados brutos atualizados'!E566)</f>
        <v>17756.599999999999</v>
      </c>
      <c r="E473" s="15">
        <f>IF(D473="","",D473*'Dados brutos atualizados'!G566)</f>
        <v>17756.599999999999</v>
      </c>
      <c r="F473" s="17">
        <f>IF(E473="","",Deflatores!E7)</f>
        <v>1.4003419893049238</v>
      </c>
      <c r="G473" s="15">
        <f>IF(OR(E473="",F473=""),"",E473*F473)</f>
        <v>24865.312567291807</v>
      </c>
      <c r="H473" s="14"/>
      <c r="I473" s="14"/>
      <c r="J473" s="14"/>
      <c r="K473" s="14" t="s">
        <v>401</v>
      </c>
      <c r="L473" s="14" t="s">
        <v>135</v>
      </c>
      <c r="M473" s="18" t="s">
        <v>399</v>
      </c>
      <c r="N473" s="14" t="s">
        <v>404</v>
      </c>
    </row>
    <row r="474" spans="1:14" ht="15.75">
      <c r="A474" s="4" t="s">
        <v>118</v>
      </c>
      <c r="B474" s="13">
        <v>2019</v>
      </c>
      <c r="C474" s="4" t="s">
        <v>445</v>
      </c>
      <c r="D474" s="15">
        <f>IF('Dados brutos atualizados'!E567="","",'Dados brutos atualizados'!E567)</f>
        <v>274207</v>
      </c>
      <c r="E474" s="15">
        <f>IF(D474="","",D474*'Dados brutos atualizados'!G567)</f>
        <v>274207</v>
      </c>
      <c r="F474" s="4"/>
      <c r="G474" s="14"/>
      <c r="H474" s="14"/>
      <c r="I474" s="14"/>
      <c r="J474" s="15">
        <f>IF(D474="","",D474)</f>
        <v>274207</v>
      </c>
      <c r="K474" s="14" t="s">
        <v>446</v>
      </c>
      <c r="L474" s="14" t="s">
        <v>449</v>
      </c>
      <c r="M474" s="18" t="s">
        <v>540</v>
      </c>
      <c r="N474" s="14" t="s">
        <v>450</v>
      </c>
    </row>
    <row r="475" spans="1:14" ht="15.75">
      <c r="A475" s="4" t="s">
        <v>118</v>
      </c>
      <c r="B475" s="13">
        <v>2019</v>
      </c>
      <c r="C475" s="4" t="s">
        <v>452</v>
      </c>
      <c r="D475" s="15">
        <f>IF('Dados brutos atualizados'!E568="","",'Dados brutos atualizados'!E568)</f>
        <v>540508310.49000001</v>
      </c>
      <c r="E475" s="15">
        <f>IF(D475="","",D475*'Dados brutos atualizados'!G568)</f>
        <v>540508310.49000001</v>
      </c>
      <c r="F475" s="17">
        <f>IF(E475="","",Deflatores!E7)</f>
        <v>1.4003419893049238</v>
      </c>
      <c r="G475" s="15">
        <f t="shared" ref="G475:G481" si="47">IF(OR(E475="",F475=""),"",E475*F475)</f>
        <v>756896482.74741006</v>
      </c>
      <c r="H475" s="15">
        <f>IF('Dados tratados'!E474="","",'Dados tratados'!E474)</f>
        <v>274207</v>
      </c>
      <c r="I475" s="15">
        <f t="shared" ref="I475:I481" si="48">IF(OR(G475="",H475="",H475=0),"",G475/H475)</f>
        <v>2760.3105783127712</v>
      </c>
      <c r="J475" s="14"/>
      <c r="K475" s="14" t="s">
        <v>417</v>
      </c>
      <c r="L475" s="14" t="s">
        <v>135</v>
      </c>
      <c r="M475" s="18" t="s">
        <v>548</v>
      </c>
      <c r="N475" s="14" t="s">
        <v>455</v>
      </c>
    </row>
    <row r="476" spans="1:14" ht="15.75">
      <c r="A476" s="4" t="s">
        <v>118</v>
      </c>
      <c r="B476" s="13">
        <v>2019</v>
      </c>
      <c r="C476" s="4" t="s">
        <v>456</v>
      </c>
      <c r="D476" s="15">
        <f>IF('Dados brutos atualizados'!E569="","",'Dados brutos atualizados'!E569)</f>
        <v>540508310.49000001</v>
      </c>
      <c r="E476" s="15">
        <f>IF(D476="","",D476*'Dados brutos atualizados'!G569)</f>
        <v>540508310.49000001</v>
      </c>
      <c r="F476" s="17">
        <f>IF(E476="","",Deflatores!E7)</f>
        <v>1.4003419893049238</v>
      </c>
      <c r="G476" s="15">
        <f t="shared" si="47"/>
        <v>756896482.74741006</v>
      </c>
      <c r="H476" s="15">
        <f>IF('Dados tratados'!E474="","",'Dados tratados'!E474)</f>
        <v>274207</v>
      </c>
      <c r="I476" s="15">
        <f t="shared" si="48"/>
        <v>2760.3105783127712</v>
      </c>
      <c r="J476" s="14"/>
      <c r="K476" s="14" t="s">
        <v>417</v>
      </c>
      <c r="L476" s="14" t="s">
        <v>135</v>
      </c>
      <c r="M476" s="18" t="s">
        <v>548</v>
      </c>
      <c r="N476" s="14" t="s">
        <v>459</v>
      </c>
    </row>
    <row r="477" spans="1:14" ht="15.75">
      <c r="A477" s="4" t="s">
        <v>118</v>
      </c>
      <c r="B477" s="13">
        <v>2019</v>
      </c>
      <c r="C477" s="4" t="s">
        <v>460</v>
      </c>
      <c r="D477" s="15">
        <f>IF('Dados brutos atualizados'!E570="","",'Dados brutos atualizados'!E570)</f>
        <v>631746512.92999995</v>
      </c>
      <c r="E477" s="15">
        <f>IF(D477="","",D477*'Dados brutos atualizados'!G570)</f>
        <v>631746512.92999995</v>
      </c>
      <c r="F477" s="17">
        <f>IF(E477="","",Deflatores!E7)</f>
        <v>1.4003419893049238</v>
      </c>
      <c r="G477" s="15">
        <f t="shared" si="47"/>
        <v>884661168.65284491</v>
      </c>
      <c r="H477" s="15">
        <f>IF('Dados tratados'!E474="","",'Dados tratados'!E474)</f>
        <v>274207</v>
      </c>
      <c r="I477" s="15">
        <f t="shared" si="48"/>
        <v>3226.2530447904132</v>
      </c>
      <c r="J477" s="14"/>
      <c r="K477" s="14" t="s">
        <v>417</v>
      </c>
      <c r="L477" s="14" t="s">
        <v>135</v>
      </c>
      <c r="M477" s="18" t="s">
        <v>547</v>
      </c>
      <c r="N477" s="14" t="s">
        <v>462</v>
      </c>
    </row>
    <row r="478" spans="1:14" ht="24">
      <c r="A478" s="4" t="s">
        <v>118</v>
      </c>
      <c r="B478" s="13">
        <v>2019</v>
      </c>
      <c r="C478" s="4" t="s">
        <v>592</v>
      </c>
      <c r="D478" s="15">
        <f>IF(OR('Dados tratados'!E477="",'Dados tratados'!E461=""),"",'Dados tratados'!E477-'Dados tratados'!E461)</f>
        <v>596886485.38999999</v>
      </c>
      <c r="E478" s="15">
        <f>IF(D478="","",D478)</f>
        <v>596886485.38999999</v>
      </c>
      <c r="F478" s="17">
        <f>IF(E478="","",Deflatores!E7)</f>
        <v>1.4003419893049238</v>
      </c>
      <c r="G478" s="15">
        <f t="shared" si="47"/>
        <v>835845208.34025693</v>
      </c>
      <c r="H478" s="15">
        <f>IF('Dados tratados'!E474="","",'Dados tratados'!E474)</f>
        <v>274207</v>
      </c>
      <c r="I478" s="15">
        <f t="shared" si="48"/>
        <v>3048.2270997467494</v>
      </c>
      <c r="J478" s="14"/>
      <c r="K478" s="14" t="s">
        <v>417</v>
      </c>
      <c r="L478" s="14" t="s">
        <v>593</v>
      </c>
      <c r="M478" s="18" t="s">
        <v>594</v>
      </c>
      <c r="N478" s="14" t="s">
        <v>595</v>
      </c>
    </row>
    <row r="479" spans="1:14" ht="36">
      <c r="A479" s="4" t="s">
        <v>118</v>
      </c>
      <c r="B479" s="13">
        <v>2019</v>
      </c>
      <c r="C479" s="4" t="s">
        <v>463</v>
      </c>
      <c r="D479" s="15">
        <f>IF('Dados brutos atualizados'!E571="","",'Dados brutos atualizados'!E571)</f>
        <v>232431906</v>
      </c>
      <c r="E479" s="15">
        <f>IF(D479="","",D479*'Dados brutos atualizados'!G571)</f>
        <v>232431906</v>
      </c>
      <c r="F479" s="17">
        <f>IF(E479="","",Deflatores!E7)</f>
        <v>1.4003419893049238</v>
      </c>
      <c r="G479" s="15">
        <f t="shared" si="47"/>
        <v>325484157.62597507</v>
      </c>
      <c r="H479" s="15">
        <f>IF('Dados tratados'!E474="","",'Dados tratados'!E474)</f>
        <v>274207</v>
      </c>
      <c r="I479" s="15">
        <f t="shared" si="48"/>
        <v>1187.0016360850564</v>
      </c>
      <c r="J479" s="14"/>
      <c r="K479" s="14" t="s">
        <v>417</v>
      </c>
      <c r="L479" s="14" t="s">
        <v>135</v>
      </c>
      <c r="M479" s="18" t="s">
        <v>547</v>
      </c>
      <c r="N479" s="14" t="s">
        <v>466</v>
      </c>
    </row>
    <row r="480" spans="1:14" ht="36">
      <c r="A480" s="4" t="s">
        <v>118</v>
      </c>
      <c r="B480" s="13">
        <v>2019</v>
      </c>
      <c r="C480" s="4" t="s">
        <v>467</v>
      </c>
      <c r="D480" s="15">
        <f>IF('Dados brutos atualizados'!E572="","",'Dados brutos atualizados'!E572)</f>
        <v>82447260.760000005</v>
      </c>
      <c r="E480" s="15">
        <f>IF(D480="","",D480*'Dados brutos atualizados'!G572)</f>
        <v>82447260.760000005</v>
      </c>
      <c r="F480" s="17">
        <f>IF(E480="","",Deflatores!E7)</f>
        <v>1.4003419893049238</v>
      </c>
      <c r="G480" s="15">
        <f t="shared" si="47"/>
        <v>115454361.1454002</v>
      </c>
      <c r="H480" s="15">
        <f>IF('Dados tratados'!E474="","",'Dados tratados'!E474)</f>
        <v>274207</v>
      </c>
      <c r="I480" s="15">
        <f t="shared" si="48"/>
        <v>421.0481904014128</v>
      </c>
      <c r="J480" s="14"/>
      <c r="K480" s="14" t="s">
        <v>417</v>
      </c>
      <c r="L480" s="14" t="s">
        <v>135</v>
      </c>
      <c r="M480" s="18" t="s">
        <v>547</v>
      </c>
      <c r="N480" s="14" t="s">
        <v>466</v>
      </c>
    </row>
    <row r="481" spans="1:14" ht="24">
      <c r="A481" s="4" t="s">
        <v>118</v>
      </c>
      <c r="B481" s="13">
        <v>2020</v>
      </c>
      <c r="C481" s="4" t="s">
        <v>416</v>
      </c>
      <c r="D481" s="15">
        <f>IF('Dados brutos atualizados'!E573="","",'Dados brutos atualizados'!E573)</f>
        <v>82955871.75</v>
      </c>
      <c r="E481" s="15">
        <f>IF(D481="","",D481*'Dados brutos atualizados'!G573)</f>
        <v>82955871.75</v>
      </c>
      <c r="F481" s="17">
        <f>IF(E481="","",Deflatores!E8)</f>
        <v>1.3567658183986284</v>
      </c>
      <c r="G481" s="15">
        <f t="shared" si="47"/>
        <v>112551691.22586042</v>
      </c>
      <c r="H481" s="15">
        <f>IF('Dados tratados'!E490="","",'Dados tratados'!E490)</f>
        <v>276264</v>
      </c>
      <c r="I481" s="15">
        <f t="shared" si="48"/>
        <v>407.40628972960798</v>
      </c>
      <c r="J481" s="14"/>
      <c r="K481" s="14" t="s">
        <v>417</v>
      </c>
      <c r="L481" s="14" t="s">
        <v>135</v>
      </c>
      <c r="M481" s="18" t="s">
        <v>550</v>
      </c>
      <c r="N481" s="14" t="s">
        <v>420</v>
      </c>
    </row>
    <row r="482" spans="1:14" ht="15.75">
      <c r="A482" s="4" t="s">
        <v>118</v>
      </c>
      <c r="B482" s="13">
        <v>2020</v>
      </c>
      <c r="C482" s="4" t="s">
        <v>422</v>
      </c>
      <c r="D482" s="15">
        <f>IF('Dados brutos atualizados'!E574="","",'Dados brutos atualizados'!E574)</f>
        <v>60.24</v>
      </c>
      <c r="E482" s="15">
        <f>IF(D482="","",D482*'Dados brutos atualizados'!G574)</f>
        <v>60.24</v>
      </c>
      <c r="F482" s="4"/>
      <c r="G482" s="14"/>
      <c r="H482" s="14"/>
      <c r="I482" s="14"/>
      <c r="J482" s="15">
        <f>IF(D482="","",D482)</f>
        <v>60.24</v>
      </c>
      <c r="K482" s="14" t="s">
        <v>423</v>
      </c>
      <c r="L482" s="14" t="s">
        <v>135</v>
      </c>
      <c r="M482" s="18" t="s">
        <v>551</v>
      </c>
      <c r="N482" s="14" t="s">
        <v>426</v>
      </c>
    </row>
    <row r="483" spans="1:14" ht="24">
      <c r="A483" s="4" t="s">
        <v>118</v>
      </c>
      <c r="B483" s="13">
        <v>2020</v>
      </c>
      <c r="C483" s="4" t="s">
        <v>428</v>
      </c>
      <c r="D483" s="15">
        <f>IF('Dados brutos atualizados'!E575="","",'Dados brutos atualizados'!E575)</f>
        <v>33686634.039999999</v>
      </c>
      <c r="E483" s="15">
        <f>IF(D483="","",D483*'Dados brutos atualizados'!G575)</f>
        <v>33686634.039999999</v>
      </c>
      <c r="F483" s="17">
        <f>IF(E483="","",Deflatores!E8)</f>
        <v>1.3567658183986284</v>
      </c>
      <c r="G483" s="15">
        <f t="shared" ref="G483:G489" si="49">IF(OR(E483="",F483=""),"",E483*F483)</f>
        <v>45704873.602375694</v>
      </c>
      <c r="H483" s="14"/>
      <c r="I483" s="14"/>
      <c r="J483" s="14"/>
      <c r="K483" s="14" t="s">
        <v>417</v>
      </c>
      <c r="L483" s="14" t="s">
        <v>431</v>
      </c>
      <c r="M483" s="18" t="s">
        <v>550</v>
      </c>
      <c r="N483" s="14" t="s">
        <v>432</v>
      </c>
    </row>
    <row r="484" spans="1:14" ht="15.75">
      <c r="A484" s="4" t="s">
        <v>118</v>
      </c>
      <c r="B484" s="13">
        <v>2020</v>
      </c>
      <c r="C484" s="4" t="s">
        <v>433</v>
      </c>
      <c r="D484" s="15">
        <f>IF('Dados brutos atualizados'!E576="","",'Dados brutos atualizados'!E576)</f>
        <v>673573754.76999998</v>
      </c>
      <c r="E484" s="15">
        <f>IF(D484="","",D484*'Dados brutos atualizados'!G576)</f>
        <v>673573754.76999998</v>
      </c>
      <c r="F484" s="17">
        <f>IF(E484="","",Deflatores!E8)</f>
        <v>1.3567658183986284</v>
      </c>
      <c r="G484" s="15">
        <f t="shared" si="49"/>
        <v>913881846.64235604</v>
      </c>
      <c r="H484" s="15">
        <f>IF('Dados tratados'!E490="","",'Dados tratados'!E490)</f>
        <v>276264</v>
      </c>
      <c r="I484" s="15">
        <f>IF(OR(G484="",H484="",H484=0),"",G484/H484)</f>
        <v>3308.0019352588683</v>
      </c>
      <c r="J484" s="14"/>
      <c r="K484" s="14" t="s">
        <v>417</v>
      </c>
      <c r="L484" s="14" t="s">
        <v>135</v>
      </c>
      <c r="M484" s="18" t="s">
        <v>552</v>
      </c>
      <c r="N484" s="14" t="s">
        <v>436</v>
      </c>
    </row>
    <row r="485" spans="1:14" ht="15.75">
      <c r="A485" s="4" t="s">
        <v>118</v>
      </c>
      <c r="B485" s="13">
        <v>2020</v>
      </c>
      <c r="C485" s="4" t="s">
        <v>438</v>
      </c>
      <c r="D485" s="15">
        <f>IF('Dados brutos atualizados'!E577="","",'Dados brutos atualizados'!E577)</f>
        <v>663301387.97000003</v>
      </c>
      <c r="E485" s="15">
        <f>IF(D485="","",D485*'Dados brutos atualizados'!G577)</f>
        <v>663301387.97000003</v>
      </c>
      <c r="F485" s="17">
        <f>IF(E485="","",Deflatores!E8)</f>
        <v>1.3567658183986284</v>
      </c>
      <c r="G485" s="15">
        <f t="shared" si="49"/>
        <v>899944650.49406326</v>
      </c>
      <c r="H485" s="15">
        <f>IF('Dados tratados'!E490="","",'Dados tratados'!E490)</f>
        <v>276264</v>
      </c>
      <c r="I485" s="15">
        <f>IF(OR(G485="",H485="",H485=0),"",G485/H485)</f>
        <v>3257.553103169661</v>
      </c>
      <c r="J485" s="14"/>
      <c r="K485" s="14" t="s">
        <v>417</v>
      </c>
      <c r="L485" s="14" t="s">
        <v>135</v>
      </c>
      <c r="M485" s="18" t="s">
        <v>552</v>
      </c>
      <c r="N485" s="14" t="s">
        <v>436</v>
      </c>
    </row>
    <row r="486" spans="1:14" ht="15.75">
      <c r="A486" s="4" t="s">
        <v>118</v>
      </c>
      <c r="B486" s="13">
        <v>2020</v>
      </c>
      <c r="C486" s="4" t="s">
        <v>440</v>
      </c>
      <c r="D486" s="15">
        <f>IF('Dados brutos atualizados'!E578="","",'Dados brutos atualizados'!E578)</f>
        <v>608514043.73000002</v>
      </c>
      <c r="E486" s="15">
        <f>IF(D486="","",D486*'Dados brutos atualizados'!G578)</f>
        <v>608514043.73000002</v>
      </c>
      <c r="F486" s="17">
        <f>IF(E486="","",Deflatores!E8)</f>
        <v>1.3567658183986284</v>
      </c>
      <c r="G486" s="15">
        <f t="shared" si="49"/>
        <v>825611054.5483923</v>
      </c>
      <c r="H486" s="15">
        <f>IF('Dados tratados'!E490="","",'Dados tratados'!E490)</f>
        <v>276264</v>
      </c>
      <c r="I486" s="15">
        <f>IF(OR(G486="",H486="",H486=0),"",G486/H486)</f>
        <v>2988.4858488561385</v>
      </c>
      <c r="J486" s="14"/>
      <c r="K486" s="14" t="s">
        <v>417</v>
      </c>
      <c r="L486" s="14" t="s">
        <v>135</v>
      </c>
      <c r="M486" s="18" t="s">
        <v>552</v>
      </c>
      <c r="N486" s="14" t="s">
        <v>436</v>
      </c>
    </row>
    <row r="487" spans="1:14" ht="15.75">
      <c r="A487" s="4" t="s">
        <v>118</v>
      </c>
      <c r="B487" s="13">
        <v>2020</v>
      </c>
      <c r="C487" s="4" t="s">
        <v>442</v>
      </c>
      <c r="D487" s="15">
        <f>IF('Dados brutos atualizados'!E579="","",'Dados brutos atualizados'!E579)</f>
        <v>333023436.51999998</v>
      </c>
      <c r="E487" s="15">
        <f>IF(D487="","",D487*'Dados brutos atualizados'!G579)</f>
        <v>333023436.51999998</v>
      </c>
      <c r="F487" s="17">
        <f>IF(E487="","",Deflatores!E8)</f>
        <v>1.3567658183986284</v>
      </c>
      <c r="G487" s="15">
        <f t="shared" si="49"/>
        <v>451834815.39598143</v>
      </c>
      <c r="H487" s="15">
        <f>IF('Dados tratados'!E490="","",'Dados tratados'!E490)</f>
        <v>276264</v>
      </c>
      <c r="I487" s="15">
        <f>IF(OR(G487="",H487="",H487=0),"",G487/H487)</f>
        <v>1635.5182557118605</v>
      </c>
      <c r="J487" s="14"/>
      <c r="K487" s="14" t="s">
        <v>417</v>
      </c>
      <c r="L487" s="14" t="s">
        <v>135</v>
      </c>
      <c r="M487" s="18" t="s">
        <v>551</v>
      </c>
      <c r="N487" s="14" t="s">
        <v>444</v>
      </c>
    </row>
    <row r="488" spans="1:14" ht="24">
      <c r="A488" s="4" t="s">
        <v>118</v>
      </c>
      <c r="B488" s="13">
        <v>2020</v>
      </c>
      <c r="C488" s="4" t="s">
        <v>394</v>
      </c>
      <c r="D488" s="15">
        <f>IF('Dados brutos atualizados'!E580="","",'Dados brutos atualizados'!E580)</f>
        <v>4827915.1529999999</v>
      </c>
      <c r="E488" s="15">
        <f>IF(D488="","",D488*'Dados brutos atualizados'!G580)</f>
        <v>4827915153</v>
      </c>
      <c r="F488" s="17">
        <f>IF(E488="","",Deflatores!E8)</f>
        <v>1.3567658183986284</v>
      </c>
      <c r="G488" s="15">
        <f t="shared" si="49"/>
        <v>6550350253.7191839</v>
      </c>
      <c r="H488" s="15">
        <f>IF('Dados tratados'!E490="","",'Dados tratados'!E490)</f>
        <v>276264</v>
      </c>
      <c r="I488" s="15">
        <f>IF(OR(G488="",H488="",H488=0),"",G488/H488)</f>
        <v>23710.473509828222</v>
      </c>
      <c r="J488" s="14"/>
      <c r="K488" s="14" t="s">
        <v>395</v>
      </c>
      <c r="L488" s="14" t="s">
        <v>135</v>
      </c>
      <c r="M488" s="18" t="s">
        <v>399</v>
      </c>
      <c r="N488" s="14" t="s">
        <v>398</v>
      </c>
    </row>
    <row r="489" spans="1:14" ht="24">
      <c r="A489" s="4" t="s">
        <v>118</v>
      </c>
      <c r="B489" s="13">
        <v>2020</v>
      </c>
      <c r="C489" s="4" t="s">
        <v>400</v>
      </c>
      <c r="D489" s="15">
        <f>IF('Dados brutos atualizados'!E581="","",'Dados brutos atualizados'!E581)</f>
        <v>17475.73</v>
      </c>
      <c r="E489" s="15">
        <f>IF(D489="","",D489*'Dados brutos atualizados'!G581)</f>
        <v>17475.73</v>
      </c>
      <c r="F489" s="17">
        <f>IF(E489="","",Deflatores!E8)</f>
        <v>1.3567658183986284</v>
      </c>
      <c r="G489" s="15">
        <f t="shared" si="49"/>
        <v>23710.473115563462</v>
      </c>
      <c r="H489" s="14"/>
      <c r="I489" s="14"/>
      <c r="J489" s="14"/>
      <c r="K489" s="14" t="s">
        <v>401</v>
      </c>
      <c r="L489" s="14" t="s">
        <v>135</v>
      </c>
      <c r="M489" s="18" t="s">
        <v>399</v>
      </c>
      <c r="N489" s="14" t="s">
        <v>404</v>
      </c>
    </row>
    <row r="490" spans="1:14" ht="15.75">
      <c r="A490" s="4" t="s">
        <v>118</v>
      </c>
      <c r="B490" s="13">
        <v>2020</v>
      </c>
      <c r="C490" s="4" t="s">
        <v>445</v>
      </c>
      <c r="D490" s="15">
        <f>IF('Dados brutos atualizados'!E582="","",'Dados brutos atualizados'!E582)</f>
        <v>276264</v>
      </c>
      <c r="E490" s="15">
        <f>IF(D490="","",D490*'Dados brutos atualizados'!G582)</f>
        <v>276264</v>
      </c>
      <c r="F490" s="4"/>
      <c r="G490" s="14"/>
      <c r="H490" s="14"/>
      <c r="I490" s="14"/>
      <c r="J490" s="15">
        <f>IF(D490="","",D490)</f>
        <v>276264</v>
      </c>
      <c r="K490" s="14" t="s">
        <v>446</v>
      </c>
      <c r="L490" s="14" t="s">
        <v>449</v>
      </c>
      <c r="M490" s="18" t="s">
        <v>540</v>
      </c>
      <c r="N490" s="14" t="s">
        <v>450</v>
      </c>
    </row>
    <row r="491" spans="1:14" ht="15.75">
      <c r="A491" s="4" t="s">
        <v>118</v>
      </c>
      <c r="B491" s="13">
        <v>2020</v>
      </c>
      <c r="C491" s="4" t="s">
        <v>452</v>
      </c>
      <c r="D491" s="15">
        <f>IF('Dados brutos atualizados'!E583="","",'Dados brutos atualizados'!E583)</f>
        <v>559245766.42999995</v>
      </c>
      <c r="E491" s="15">
        <f>IF(D491="","",D491*'Dados brutos atualizados'!G583)</f>
        <v>559245766.42999995</v>
      </c>
      <c r="F491" s="17">
        <f>IF(E491="","",Deflatores!E8)</f>
        <v>1.3567658183986284</v>
      </c>
      <c r="G491" s="15">
        <f t="shared" ref="G491:G497" si="50">IF(OR(E491="",F491=""),"",E491*F491)</f>
        <v>758765539.97636712</v>
      </c>
      <c r="H491" s="15">
        <f>IF('Dados tratados'!E490="","",'Dados tratados'!E490)</f>
        <v>276264</v>
      </c>
      <c r="I491" s="15">
        <f t="shared" ref="I491:I497" si="51">IF(OR(G491="",H491="",H491=0),"",G491/H491)</f>
        <v>2746.5233978237015</v>
      </c>
      <c r="J491" s="14"/>
      <c r="K491" s="14" t="s">
        <v>417</v>
      </c>
      <c r="L491" s="14" t="s">
        <v>135</v>
      </c>
      <c r="M491" s="18" t="s">
        <v>551</v>
      </c>
      <c r="N491" s="14" t="s">
        <v>455</v>
      </c>
    </row>
    <row r="492" spans="1:14" ht="15.75">
      <c r="A492" s="4" t="s">
        <v>118</v>
      </c>
      <c r="B492" s="13">
        <v>2020</v>
      </c>
      <c r="C492" s="4" t="s">
        <v>456</v>
      </c>
      <c r="D492" s="15">
        <f>IF('Dados brutos atualizados'!E584="","",'Dados brutos atualizados'!E584)</f>
        <v>552861580.42999995</v>
      </c>
      <c r="E492" s="15">
        <f>IF(D492="","",D492*'Dados brutos atualizados'!G584)</f>
        <v>552861580.42999995</v>
      </c>
      <c r="F492" s="17">
        <f>IF(E492="","",Deflatores!E8)</f>
        <v>1.3567658183986284</v>
      </c>
      <c r="G492" s="15">
        <f t="shared" si="50"/>
        <v>750103694.633268</v>
      </c>
      <c r="H492" s="15">
        <f>IF('Dados tratados'!E490="","",'Dados tratados'!E490)</f>
        <v>276264</v>
      </c>
      <c r="I492" s="15">
        <f t="shared" si="51"/>
        <v>2715.1698905151161</v>
      </c>
      <c r="J492" s="14"/>
      <c r="K492" s="14" t="s">
        <v>417</v>
      </c>
      <c r="L492" s="14" t="s">
        <v>135</v>
      </c>
      <c r="M492" s="18" t="s">
        <v>551</v>
      </c>
      <c r="N492" s="14" t="s">
        <v>459</v>
      </c>
    </row>
    <row r="493" spans="1:14" ht="15.75">
      <c r="A493" s="4" t="s">
        <v>118</v>
      </c>
      <c r="B493" s="13">
        <v>2020</v>
      </c>
      <c r="C493" s="4" t="s">
        <v>460</v>
      </c>
      <c r="D493" s="15">
        <f>IF('Dados brutos atualizados'!E585="","",'Dados brutos atualizados'!E585)</f>
        <v>655184732.33000004</v>
      </c>
      <c r="E493" s="15">
        <f>IF(D493="","",D493*'Dados brutos atualizados'!G585)</f>
        <v>655184732.33000004</v>
      </c>
      <c r="F493" s="17">
        <f>IF(E493="","",Deflatores!E8)</f>
        <v>1.3567658183986284</v>
      </c>
      <c r="G493" s="15">
        <f t="shared" si="50"/>
        <v>888932249.56199884</v>
      </c>
      <c r="H493" s="15">
        <f>IF('Dados tratados'!E490="","",'Dados tratados'!E490)</f>
        <v>276264</v>
      </c>
      <c r="I493" s="15">
        <f t="shared" si="51"/>
        <v>3217.6912285422595</v>
      </c>
      <c r="J493" s="14"/>
      <c r="K493" s="14" t="s">
        <v>417</v>
      </c>
      <c r="L493" s="14" t="s">
        <v>135</v>
      </c>
      <c r="M493" s="18" t="s">
        <v>550</v>
      </c>
      <c r="N493" s="14" t="s">
        <v>462</v>
      </c>
    </row>
    <row r="494" spans="1:14" ht="24">
      <c r="A494" s="4" t="s">
        <v>118</v>
      </c>
      <c r="B494" s="13">
        <v>2020</v>
      </c>
      <c r="C494" s="4" t="s">
        <v>592</v>
      </c>
      <c r="D494" s="15">
        <f>IF(OR('Dados tratados'!E493="",'Dados tratados'!E483=""),"",'Dados tratados'!E493-'Dados tratados'!E483)</f>
        <v>621498098.29000008</v>
      </c>
      <c r="E494" s="15">
        <f>IF(D494="","",D494)</f>
        <v>621498098.29000008</v>
      </c>
      <c r="F494" s="17">
        <f>IF(E494="","",Deflatores!E8)</f>
        <v>1.3567658183986284</v>
      </c>
      <c r="G494" s="15">
        <f t="shared" si="50"/>
        <v>843227375.95962322</v>
      </c>
      <c r="H494" s="15">
        <f>IF('Dados tratados'!E490="","",'Dados tratados'!E490)</f>
        <v>276264</v>
      </c>
      <c r="I494" s="15">
        <f t="shared" si="51"/>
        <v>3052.2521065344135</v>
      </c>
      <c r="J494" s="14"/>
      <c r="K494" s="14" t="s">
        <v>417</v>
      </c>
      <c r="L494" s="14" t="s">
        <v>593</v>
      </c>
      <c r="M494" s="18" t="s">
        <v>594</v>
      </c>
      <c r="N494" s="14" t="s">
        <v>595</v>
      </c>
    </row>
    <row r="495" spans="1:14" ht="36">
      <c r="A495" s="4" t="s">
        <v>118</v>
      </c>
      <c r="B495" s="13">
        <v>2020</v>
      </c>
      <c r="C495" s="4" t="s">
        <v>463</v>
      </c>
      <c r="D495" s="15">
        <f>IF('Dados brutos atualizados'!E586="","",'Dados brutos atualizados'!E586)</f>
        <v>287054794.85000002</v>
      </c>
      <c r="E495" s="15">
        <f>IF(D495="","",D495*'Dados brutos atualizados'!G586)</f>
        <v>287054794.85000002</v>
      </c>
      <c r="F495" s="17">
        <f>IF(E495="","",Deflatores!E8)</f>
        <v>1.3567658183986284</v>
      </c>
      <c r="G495" s="15">
        <f t="shared" si="50"/>
        <v>389466133.65991068</v>
      </c>
      <c r="H495" s="15">
        <f>IF('Dados tratados'!E490="","",'Dados tratados'!E490)</f>
        <v>276264</v>
      </c>
      <c r="I495" s="15">
        <f t="shared" si="51"/>
        <v>1409.7607131581049</v>
      </c>
      <c r="J495" s="14"/>
      <c r="K495" s="14" t="s">
        <v>417</v>
      </c>
      <c r="L495" s="14" t="s">
        <v>135</v>
      </c>
      <c r="M495" s="18" t="s">
        <v>550</v>
      </c>
      <c r="N495" s="14" t="s">
        <v>466</v>
      </c>
    </row>
    <row r="496" spans="1:14" ht="36">
      <c r="A496" s="4" t="s">
        <v>118</v>
      </c>
      <c r="B496" s="13">
        <v>2020</v>
      </c>
      <c r="C496" s="4" t="s">
        <v>467</v>
      </c>
      <c r="D496" s="15">
        <f>IF('Dados brutos atualizados'!E587="","",'Dados brutos atualizados'!E587)</f>
        <v>82718697.75</v>
      </c>
      <c r="E496" s="15">
        <f>IF(D496="","",D496*'Dados brutos atualizados'!G587)</f>
        <v>82718697.75</v>
      </c>
      <c r="F496" s="17">
        <f>IF(E496="","",Deflatores!E8)</f>
        <v>1.3567658183986284</v>
      </c>
      <c r="G496" s="15">
        <f t="shared" si="50"/>
        <v>112229901.64964753</v>
      </c>
      <c r="H496" s="15">
        <f>IF('Dados tratados'!E490="","",'Dados tratados'!E490)</f>
        <v>276264</v>
      </c>
      <c r="I496" s="15">
        <f t="shared" si="51"/>
        <v>406.24149961503321</v>
      </c>
      <c r="J496" s="14"/>
      <c r="K496" s="14" t="s">
        <v>417</v>
      </c>
      <c r="L496" s="14" t="s">
        <v>135</v>
      </c>
      <c r="M496" s="18" t="s">
        <v>550</v>
      </c>
      <c r="N496" s="14" t="s">
        <v>466</v>
      </c>
    </row>
    <row r="497" spans="1:14" ht="24">
      <c r="A497" s="4" t="s">
        <v>118</v>
      </c>
      <c r="B497" s="13">
        <v>2021</v>
      </c>
      <c r="C497" s="4" t="s">
        <v>416</v>
      </c>
      <c r="D497" s="15">
        <f>IF('Dados brutos atualizados'!E588="","",'Dados brutos atualizados'!E588)</f>
        <v>106282243.03</v>
      </c>
      <c r="E497" s="15">
        <f>IF(D497="","",D497*'Dados brutos atualizados'!G588)</f>
        <v>106282243.03</v>
      </c>
      <c r="F497" s="17">
        <f>IF(E497="","",Deflatores!E9)</f>
        <v>1.2527654898892322</v>
      </c>
      <c r="G497" s="15">
        <f t="shared" si="50"/>
        <v>133146726.25600439</v>
      </c>
      <c r="H497" s="15">
        <f>IF('Dados tratados'!E512="","",'Dados tratados'!E512)</f>
        <v>278264</v>
      </c>
      <c r="I497" s="15">
        <f t="shared" si="51"/>
        <v>478.49066446254056</v>
      </c>
      <c r="J497" s="14"/>
      <c r="K497" s="14" t="s">
        <v>417</v>
      </c>
      <c r="L497" s="14" t="s">
        <v>135</v>
      </c>
      <c r="M497" s="18" t="s">
        <v>553</v>
      </c>
      <c r="N497" s="14" t="s">
        <v>420</v>
      </c>
    </row>
    <row r="498" spans="1:14" ht="15.75">
      <c r="A498" s="4" t="s">
        <v>118</v>
      </c>
      <c r="B498" s="13">
        <v>2021</v>
      </c>
      <c r="C498" s="4" t="s">
        <v>422</v>
      </c>
      <c r="D498" s="15">
        <f>IF('Dados brutos atualizados'!E589="","",'Dados brutos atualizados'!E589)</f>
        <v>53.21</v>
      </c>
      <c r="E498" s="15">
        <f>IF(D498="","",D498*'Dados brutos atualizados'!G589)</f>
        <v>53.21</v>
      </c>
      <c r="F498" s="4"/>
      <c r="G498" s="14"/>
      <c r="H498" s="14"/>
      <c r="I498" s="14"/>
      <c r="J498" s="15">
        <f>IF(D498="","",D498)</f>
        <v>53.21</v>
      </c>
      <c r="K498" s="14" t="s">
        <v>423</v>
      </c>
      <c r="L498" s="14" t="s">
        <v>135</v>
      </c>
      <c r="M498" s="18" t="s">
        <v>554</v>
      </c>
      <c r="N498" s="14" t="s">
        <v>426</v>
      </c>
    </row>
    <row r="499" spans="1:14" ht="24">
      <c r="A499" s="4" t="s">
        <v>118</v>
      </c>
      <c r="B499" s="13">
        <v>2021</v>
      </c>
      <c r="C499" s="4" t="s">
        <v>428</v>
      </c>
      <c r="D499" s="15">
        <f>IF('Dados brutos atualizados'!E590="","",'Dados brutos atualizados'!E590)</f>
        <v>42924271.869999997</v>
      </c>
      <c r="E499" s="15">
        <f>IF(D499="","",D499*'Dados brutos atualizados'!G590)</f>
        <v>42924271.869999997</v>
      </c>
      <c r="F499" s="17">
        <f>IF(E499="","",Deflatores!E9)</f>
        <v>1.2527654898892322</v>
      </c>
      <c r="G499" s="15">
        <f>IF(OR(E499="",F499=""),"",E499*F499)</f>
        <v>53774046.477359138</v>
      </c>
      <c r="H499" s="14"/>
      <c r="I499" s="14"/>
      <c r="J499" s="14"/>
      <c r="K499" s="14" t="s">
        <v>417</v>
      </c>
      <c r="L499" s="14" t="s">
        <v>431</v>
      </c>
      <c r="M499" s="18" t="s">
        <v>553</v>
      </c>
      <c r="N499" s="14" t="s">
        <v>432</v>
      </c>
    </row>
    <row r="500" spans="1:14" ht="15.75">
      <c r="A500" s="4" t="s">
        <v>118</v>
      </c>
      <c r="B500" s="13">
        <v>2021</v>
      </c>
      <c r="C500" s="4" t="s">
        <v>433</v>
      </c>
      <c r="D500" s="15">
        <f>IF('Dados brutos atualizados'!E591="","",'Dados brutos atualizados'!E591)</f>
        <v>658365860.13999999</v>
      </c>
      <c r="E500" s="15">
        <f>IF(D500="","",D500*'Dados brutos atualizados'!G591)</f>
        <v>658365860.13999999</v>
      </c>
      <c r="F500" s="17">
        <f>IF(E500="","",Deflatores!E9)</f>
        <v>1.2527654898892322</v>
      </c>
      <c r="G500" s="15">
        <f>IF(OR(E500="",F500=""),"",E500*F500)</f>
        <v>824778029.30463278</v>
      </c>
      <c r="H500" s="15">
        <f>IF('Dados tratados'!E512="","",'Dados tratados'!E512)</f>
        <v>278264</v>
      </c>
      <c r="I500" s="15">
        <f>IF(OR(G500="",H500="",H500=0),"",G500/H500)</f>
        <v>2964.0126976706752</v>
      </c>
      <c r="J500" s="14"/>
      <c r="K500" s="14" t="s">
        <v>417</v>
      </c>
      <c r="L500" s="14" t="s">
        <v>135</v>
      </c>
      <c r="M500" s="18" t="s">
        <v>555</v>
      </c>
      <c r="N500" s="14" t="s">
        <v>436</v>
      </c>
    </row>
    <row r="501" spans="1:14" ht="15.75">
      <c r="A501" s="4" t="s">
        <v>118</v>
      </c>
      <c r="B501" s="13">
        <v>2021</v>
      </c>
      <c r="C501" s="4" t="s">
        <v>438</v>
      </c>
      <c r="D501" s="15">
        <f>IF('Dados brutos atualizados'!E592="","",'Dados brutos atualizados'!E592)</f>
        <v>647624040.26999998</v>
      </c>
      <c r="E501" s="15">
        <f>IF(D501="","",D501*'Dados brutos atualizados'!G592)</f>
        <v>647624040.26999998</v>
      </c>
      <c r="F501" s="17">
        <f>IF(E501="","",Deflatores!E9)</f>
        <v>1.2527654898892322</v>
      </c>
      <c r="G501" s="15">
        <f>IF(OR(E501="",F501=""),"",E501*F501)</f>
        <v>811321048.0728904</v>
      </c>
      <c r="H501" s="15">
        <f>IF('Dados tratados'!E512="","",'Dados tratados'!E512)</f>
        <v>278264</v>
      </c>
      <c r="I501" s="15">
        <f>IF(OR(G501="",H501="",H501=0),"",G501/H501)</f>
        <v>2915.6522154245263</v>
      </c>
      <c r="J501" s="14"/>
      <c r="K501" s="14" t="s">
        <v>417</v>
      </c>
      <c r="L501" s="14" t="s">
        <v>135</v>
      </c>
      <c r="M501" s="18" t="s">
        <v>555</v>
      </c>
      <c r="N501" s="14" t="s">
        <v>436</v>
      </c>
    </row>
    <row r="502" spans="1:14" ht="15.75">
      <c r="A502" s="4" t="s">
        <v>118</v>
      </c>
      <c r="B502" s="13">
        <v>2021</v>
      </c>
      <c r="C502" s="4" t="s">
        <v>440</v>
      </c>
      <c r="D502" s="15">
        <f>IF('Dados brutos atualizados'!E593="","",'Dados brutos atualizados'!E593)</f>
        <v>595069975.32000005</v>
      </c>
      <c r="E502" s="15">
        <f>IF(D502="","",D502*'Dados brutos atualizados'!G593)</f>
        <v>595069975.32000005</v>
      </c>
      <c r="F502" s="17">
        <f>IF(E502="","",Deflatores!E9)</f>
        <v>1.2527654898892322</v>
      </c>
      <c r="G502" s="15">
        <f>IF(OR(E502="",F502=""),"",E502*F502)</f>
        <v>745483129.15013313</v>
      </c>
      <c r="H502" s="15">
        <f>IF('Dados tratados'!E512="","",'Dados tratados'!E512)</f>
        <v>278264</v>
      </c>
      <c r="I502" s="15">
        <f>IF(OR(G502="",H502="",H502=0),"",G502/H502)</f>
        <v>2679.04985607241</v>
      </c>
      <c r="J502" s="14"/>
      <c r="K502" s="14" t="s">
        <v>417</v>
      </c>
      <c r="L502" s="14" t="s">
        <v>135</v>
      </c>
      <c r="M502" s="18" t="s">
        <v>555</v>
      </c>
      <c r="N502" s="14" t="s">
        <v>436</v>
      </c>
    </row>
    <row r="503" spans="1:14" ht="15.75">
      <c r="A503" s="4" t="s">
        <v>118</v>
      </c>
      <c r="B503" s="13">
        <v>2021</v>
      </c>
      <c r="C503" s="4" t="s">
        <v>442</v>
      </c>
      <c r="D503" s="15">
        <f>IF('Dados brutos atualizados'!E594="","",'Dados brutos atualizados'!E594)</f>
        <v>332520731.26999998</v>
      </c>
      <c r="E503" s="15">
        <f>IF(D503="","",D503*'Dados brutos atualizados'!G594)</f>
        <v>332520731.26999998</v>
      </c>
      <c r="F503" s="17">
        <f>IF(E503="","",Deflatores!E9)</f>
        <v>1.2527654898892322</v>
      </c>
      <c r="G503" s="15">
        <f>IF(OR(E503="",F503=""),"",E503*F503)</f>
        <v>416570496.80778724</v>
      </c>
      <c r="H503" s="15">
        <f>IF('Dados tratados'!E512="","",'Dados tratados'!E512)</f>
        <v>278264</v>
      </c>
      <c r="I503" s="15">
        <f>IF(OR(G503="",H503="",H503=0),"",G503/H503)</f>
        <v>1497.0333812774461</v>
      </c>
      <c r="J503" s="14"/>
      <c r="K503" s="14" t="s">
        <v>417</v>
      </c>
      <c r="L503" s="14" t="s">
        <v>135</v>
      </c>
      <c r="M503" s="18" t="s">
        <v>554</v>
      </c>
      <c r="N503" s="14" t="s">
        <v>444</v>
      </c>
    </row>
    <row r="504" spans="1:14" ht="15.75">
      <c r="A504" s="4" t="s">
        <v>118</v>
      </c>
      <c r="B504" s="13">
        <v>2021</v>
      </c>
      <c r="C504" s="4" t="s">
        <v>374</v>
      </c>
      <c r="D504" s="15">
        <f>IF('Dados brutos atualizados'!E595="","",'Dados brutos atualizados'!E595)</f>
        <v>4.9783330000000001</v>
      </c>
      <c r="E504" s="15">
        <f>IF(D504="","",D504*'Dados brutos atualizados'!G595)</f>
        <v>4.9783330000000001</v>
      </c>
      <c r="F504" s="4"/>
      <c r="G504" s="14"/>
      <c r="H504" s="14"/>
      <c r="I504" s="14"/>
      <c r="J504" s="15">
        <f t="shared" ref="J504:J509" si="52">IF(D504="","",D504)</f>
        <v>4.9783330000000001</v>
      </c>
      <c r="K504" s="14" t="s">
        <v>375</v>
      </c>
      <c r="L504" s="14" t="s">
        <v>378</v>
      </c>
      <c r="M504" s="18" t="s">
        <v>380</v>
      </c>
      <c r="N504" s="14" t="s">
        <v>379</v>
      </c>
    </row>
    <row r="505" spans="1:14" ht="15.75">
      <c r="A505" s="4" t="s">
        <v>118</v>
      </c>
      <c r="B505" s="13">
        <v>2021</v>
      </c>
      <c r="C505" s="4" t="s">
        <v>381</v>
      </c>
      <c r="D505" s="15">
        <f>IF('Dados brutos atualizados'!E596="","",'Dados brutos atualizados'!E596)</f>
        <v>5.4466279999999996</v>
      </c>
      <c r="E505" s="15">
        <f>IF(D505="","",D505*'Dados brutos atualizados'!G596)</f>
        <v>5.4466279999999996</v>
      </c>
      <c r="F505" s="4"/>
      <c r="G505" s="14"/>
      <c r="H505" s="14"/>
      <c r="I505" s="14"/>
      <c r="J505" s="15">
        <f t="shared" si="52"/>
        <v>5.4466279999999996</v>
      </c>
      <c r="K505" s="14" t="s">
        <v>375</v>
      </c>
      <c r="L505" s="14" t="s">
        <v>378</v>
      </c>
      <c r="M505" s="18" t="s">
        <v>382</v>
      </c>
      <c r="N505" s="14" t="s">
        <v>379</v>
      </c>
    </row>
    <row r="506" spans="1:14" ht="15.75">
      <c r="A506" s="4" t="s">
        <v>118</v>
      </c>
      <c r="B506" s="13">
        <v>2021</v>
      </c>
      <c r="C506" s="4" t="s">
        <v>383</v>
      </c>
      <c r="D506" s="15">
        <f>IF('Dados brutos atualizados'!E597="","",'Dados brutos atualizados'!E597)</f>
        <v>0.99799899999999997</v>
      </c>
      <c r="E506" s="15">
        <f>IF(D506="","",D506*'Dados brutos atualizados'!G597)</f>
        <v>0.99799899999999997</v>
      </c>
      <c r="F506" s="4"/>
      <c r="G506" s="14"/>
      <c r="H506" s="14"/>
      <c r="I506" s="14"/>
      <c r="J506" s="15">
        <f t="shared" si="52"/>
        <v>0.99799899999999997</v>
      </c>
      <c r="K506" s="14" t="s">
        <v>384</v>
      </c>
      <c r="L506" s="14" t="s">
        <v>378</v>
      </c>
      <c r="M506" s="18" t="s">
        <v>380</v>
      </c>
      <c r="N506" s="14" t="s">
        <v>379</v>
      </c>
    </row>
    <row r="507" spans="1:14" ht="15.75">
      <c r="A507" s="4" t="s">
        <v>118</v>
      </c>
      <c r="B507" s="13">
        <v>2021</v>
      </c>
      <c r="C507" s="4" t="s">
        <v>386</v>
      </c>
      <c r="D507" s="15">
        <f>IF('Dados brutos atualizados'!E598="","",'Dados brutos atualizados'!E598)</f>
        <v>1</v>
      </c>
      <c r="E507" s="15">
        <f>IF(D507="","",D507*'Dados brutos atualizados'!G598)</f>
        <v>1</v>
      </c>
      <c r="F507" s="4"/>
      <c r="G507" s="14"/>
      <c r="H507" s="14"/>
      <c r="I507" s="14"/>
      <c r="J507" s="15">
        <f t="shared" si="52"/>
        <v>1</v>
      </c>
      <c r="K507" s="14" t="s">
        <v>384</v>
      </c>
      <c r="L507" s="14" t="s">
        <v>378</v>
      </c>
      <c r="M507" s="18" t="s">
        <v>382</v>
      </c>
      <c r="N507" s="14" t="s">
        <v>379</v>
      </c>
    </row>
    <row r="508" spans="1:14" ht="24">
      <c r="A508" s="4" t="s">
        <v>118</v>
      </c>
      <c r="B508" s="13">
        <v>2021</v>
      </c>
      <c r="C508" s="4" t="s">
        <v>587</v>
      </c>
      <c r="D508" s="15">
        <f>IF(OR('Dados brutos atualizados'!E597="",'Dados brutos atualizados'!E595=""),"",'Dados brutos atualizados'!E597*'Dados brutos atualizados'!E595)</f>
        <v>4.9683713556670002</v>
      </c>
      <c r="E508" s="15">
        <f>IF(D508="","",D508)</f>
        <v>4.9683713556670002</v>
      </c>
      <c r="F508" s="4"/>
      <c r="G508" s="14"/>
      <c r="H508" s="14"/>
      <c r="I508" s="14"/>
      <c r="J508" s="15">
        <f t="shared" si="52"/>
        <v>4.9683713556670002</v>
      </c>
      <c r="K508" s="14" t="s">
        <v>588</v>
      </c>
      <c r="L508" s="14" t="s">
        <v>589</v>
      </c>
      <c r="M508" s="18" t="s">
        <v>380</v>
      </c>
      <c r="N508" s="14" t="s">
        <v>590</v>
      </c>
    </row>
    <row r="509" spans="1:14" ht="24">
      <c r="A509" s="4" t="s">
        <v>118</v>
      </c>
      <c r="B509" s="13">
        <v>2021</v>
      </c>
      <c r="C509" s="4" t="s">
        <v>591</v>
      </c>
      <c r="D509" s="15">
        <f>IF(OR('Dados brutos atualizados'!E598="",'Dados brutos atualizados'!E596=""),"",'Dados brutos atualizados'!E598*'Dados brutos atualizados'!E596)</f>
        <v>5.4466279999999996</v>
      </c>
      <c r="E509" s="15">
        <f>IF(D509="","",D509)</f>
        <v>5.4466279999999996</v>
      </c>
      <c r="F509" s="4"/>
      <c r="G509" s="14"/>
      <c r="H509" s="14"/>
      <c r="I509" s="14"/>
      <c r="J509" s="15">
        <f t="shared" si="52"/>
        <v>5.4466279999999996</v>
      </c>
      <c r="K509" s="14" t="s">
        <v>588</v>
      </c>
      <c r="L509" s="14" t="s">
        <v>589</v>
      </c>
      <c r="M509" s="18" t="s">
        <v>382</v>
      </c>
      <c r="N509" s="14" t="s">
        <v>590</v>
      </c>
    </row>
    <row r="510" spans="1:14" ht="24">
      <c r="A510" s="4" t="s">
        <v>118</v>
      </c>
      <c r="B510" s="13">
        <v>2021</v>
      </c>
      <c r="C510" s="4" t="s">
        <v>394</v>
      </c>
      <c r="D510" s="15">
        <f>IF('Dados brutos atualizados'!E599="","",'Dados brutos atualizados'!E599)</f>
        <v>5114785.9780000001</v>
      </c>
      <c r="E510" s="15">
        <f>IF(D510="","",D510*'Dados brutos atualizados'!G599)</f>
        <v>5114785978</v>
      </c>
      <c r="F510" s="17">
        <f>IF(E510="","",Deflatores!E9)</f>
        <v>1.2527654898892322</v>
      </c>
      <c r="G510" s="15">
        <f>IF(OR(E510="",F510=""),"",E510*F510)</f>
        <v>6407627361.4077454</v>
      </c>
      <c r="H510" s="15">
        <f>IF('Dados tratados'!E512="","",'Dados tratados'!E512)</f>
        <v>278264</v>
      </c>
      <c r="I510" s="15">
        <f>IF(OR(G510="",H510="",H510=0),"",G510/H510)</f>
        <v>23027.151774601622</v>
      </c>
      <c r="J510" s="14"/>
      <c r="K510" s="14" t="s">
        <v>395</v>
      </c>
      <c r="L510" s="14" t="s">
        <v>135</v>
      </c>
      <c r="M510" s="18" t="s">
        <v>399</v>
      </c>
      <c r="N510" s="14" t="s">
        <v>398</v>
      </c>
    </row>
    <row r="511" spans="1:14" ht="24">
      <c r="A511" s="4" t="s">
        <v>118</v>
      </c>
      <c r="B511" s="13">
        <v>2021</v>
      </c>
      <c r="C511" s="4" t="s">
        <v>400</v>
      </c>
      <c r="D511" s="15">
        <f>IF('Dados brutos atualizados'!E600="","",'Dados brutos atualizados'!E600)</f>
        <v>18381.060000000001</v>
      </c>
      <c r="E511" s="15">
        <f>IF(D511="","",D511*'Dados brutos atualizados'!G600)</f>
        <v>18381.060000000001</v>
      </c>
      <c r="F511" s="17">
        <f>IF(E511="","",Deflatores!E9)</f>
        <v>1.2527654898892322</v>
      </c>
      <c r="G511" s="15">
        <f>IF(OR(E511="",F511=""),"",E511*F511)</f>
        <v>23027.157635583371</v>
      </c>
      <c r="H511" s="14"/>
      <c r="I511" s="14"/>
      <c r="J511" s="14"/>
      <c r="K511" s="14" t="s">
        <v>401</v>
      </c>
      <c r="L511" s="14" t="s">
        <v>135</v>
      </c>
      <c r="M511" s="18" t="s">
        <v>399</v>
      </c>
      <c r="N511" s="14" t="s">
        <v>404</v>
      </c>
    </row>
    <row r="512" spans="1:14" ht="15.75">
      <c r="A512" s="4" t="s">
        <v>118</v>
      </c>
      <c r="B512" s="13">
        <v>2021</v>
      </c>
      <c r="C512" s="4" t="s">
        <v>445</v>
      </c>
      <c r="D512" s="15">
        <f>IF('Dados brutos atualizados'!E601="","",'Dados brutos atualizados'!E601)</f>
        <v>278264</v>
      </c>
      <c r="E512" s="15">
        <f>IF(D512="","",D512*'Dados brutos atualizados'!G601)</f>
        <v>278264</v>
      </c>
      <c r="F512" s="4"/>
      <c r="G512" s="14"/>
      <c r="H512" s="14"/>
      <c r="I512" s="14"/>
      <c r="J512" s="15">
        <f>IF(D512="","",D512)</f>
        <v>278264</v>
      </c>
      <c r="K512" s="14" t="s">
        <v>446</v>
      </c>
      <c r="L512" s="14" t="s">
        <v>449</v>
      </c>
      <c r="M512" s="18" t="s">
        <v>540</v>
      </c>
      <c r="N512" s="14" t="s">
        <v>450</v>
      </c>
    </row>
    <row r="513" spans="1:14" ht="15.75">
      <c r="A513" s="4" t="s">
        <v>118</v>
      </c>
      <c r="B513" s="13">
        <v>2021</v>
      </c>
      <c r="C513" s="4" t="s">
        <v>452</v>
      </c>
      <c r="D513" s="15">
        <f>IF('Dados brutos atualizados'!E602="","",'Dados brutos atualizados'!E602)</f>
        <v>626683074.88</v>
      </c>
      <c r="E513" s="15">
        <f>IF(D513="","",D513*'Dados brutos atualizados'!G602)</f>
        <v>626683074.88</v>
      </c>
      <c r="F513" s="17">
        <f>IF(E513="","",Deflatores!E9)</f>
        <v>1.2527654898892322</v>
      </c>
      <c r="G513" s="15">
        <f t="shared" ref="G513:G519" si="53">IF(OR(E513="",F513=""),"",E513*F513)</f>
        <v>785086929.30733359</v>
      </c>
      <c r="H513" s="15">
        <f>IF('Dados tratados'!E512="","",'Dados tratados'!E512)</f>
        <v>278264</v>
      </c>
      <c r="I513" s="15">
        <f t="shared" ref="I513:I519" si="54">IF(OR(G513="",H513="",H513=0),"",G513/H513)</f>
        <v>2821.374411736098</v>
      </c>
      <c r="J513" s="14"/>
      <c r="K513" s="14" t="s">
        <v>417</v>
      </c>
      <c r="L513" s="14" t="s">
        <v>135</v>
      </c>
      <c r="M513" s="18" t="s">
        <v>554</v>
      </c>
      <c r="N513" s="14" t="s">
        <v>455</v>
      </c>
    </row>
    <row r="514" spans="1:14" ht="15.75">
      <c r="A514" s="4" t="s">
        <v>118</v>
      </c>
      <c r="B514" s="13">
        <v>2021</v>
      </c>
      <c r="C514" s="4" t="s">
        <v>456</v>
      </c>
      <c r="D514" s="15">
        <f>IF('Dados brutos atualizados'!E603="","",'Dados brutos atualizados'!E603)</f>
        <v>624863053.88</v>
      </c>
      <c r="E514" s="15">
        <f>IF(D514="","",D514*'Dados brutos atualizados'!G603)</f>
        <v>624863053.88</v>
      </c>
      <c r="F514" s="17">
        <f>IF(E514="","",Deflatores!E9)</f>
        <v>1.2527654898892322</v>
      </c>
      <c r="G514" s="15">
        <f t="shared" si="53"/>
        <v>782806869.80765986</v>
      </c>
      <c r="H514" s="15">
        <f>IF('Dados tratados'!E512="","",'Dados tratados'!E512)</f>
        <v>278264</v>
      </c>
      <c r="I514" s="15">
        <f t="shared" si="54"/>
        <v>2813.1805400902017</v>
      </c>
      <c r="J514" s="14"/>
      <c r="K514" s="14" t="s">
        <v>417</v>
      </c>
      <c r="L514" s="14" t="s">
        <v>135</v>
      </c>
      <c r="M514" s="18" t="s">
        <v>554</v>
      </c>
      <c r="N514" s="14" t="s">
        <v>459</v>
      </c>
    </row>
    <row r="515" spans="1:14" ht="15.75">
      <c r="A515" s="4" t="s">
        <v>118</v>
      </c>
      <c r="B515" s="13">
        <v>2021</v>
      </c>
      <c r="C515" s="4" t="s">
        <v>460</v>
      </c>
      <c r="D515" s="15">
        <f>IF('Dados brutos atualizados'!E604="","",'Dados brutos atualizados'!E604)</f>
        <v>761667224.14999998</v>
      </c>
      <c r="E515" s="15">
        <f>IF(D515="","",D515*'Dados brutos atualizados'!G604)</f>
        <v>761667224.14999998</v>
      </c>
      <c r="F515" s="17">
        <f>IF(E515="","",Deflatores!E9)</f>
        <v>1.2527654898892322</v>
      </c>
      <c r="G515" s="15">
        <f t="shared" si="53"/>
        <v>954190413.19484639</v>
      </c>
      <c r="H515" s="15">
        <f>IF('Dados tratados'!E512="","",'Dados tratados'!E512)</f>
        <v>278264</v>
      </c>
      <c r="I515" s="15">
        <f t="shared" si="54"/>
        <v>3429.0832202327515</v>
      </c>
      <c r="J515" s="14"/>
      <c r="K515" s="14" t="s">
        <v>417</v>
      </c>
      <c r="L515" s="14" t="s">
        <v>135</v>
      </c>
      <c r="M515" s="18" t="s">
        <v>553</v>
      </c>
      <c r="N515" s="14" t="s">
        <v>462</v>
      </c>
    </row>
    <row r="516" spans="1:14" ht="24">
      <c r="A516" s="4" t="s">
        <v>118</v>
      </c>
      <c r="B516" s="13">
        <v>2021</v>
      </c>
      <c r="C516" s="4" t="s">
        <v>592</v>
      </c>
      <c r="D516" s="15">
        <f>IF(OR('Dados tratados'!E515="",'Dados tratados'!E499=""),"",'Dados tratados'!E515-'Dados tratados'!E499)</f>
        <v>718742952.27999997</v>
      </c>
      <c r="E516" s="15">
        <f>IF(D516="","",D516)</f>
        <v>718742952.27999997</v>
      </c>
      <c r="F516" s="17">
        <f>IF(E516="","",Deflatores!E9)</f>
        <v>1.2527654898892322</v>
      </c>
      <c r="G516" s="15">
        <f t="shared" si="53"/>
        <v>900416366.71748722</v>
      </c>
      <c r="H516" s="15">
        <f>IF('Dados tratados'!E512="","",'Dados tratados'!E512)</f>
        <v>278264</v>
      </c>
      <c r="I516" s="15">
        <f t="shared" si="54"/>
        <v>3235.8349147481786</v>
      </c>
      <c r="J516" s="14"/>
      <c r="K516" s="14" t="s">
        <v>417</v>
      </c>
      <c r="L516" s="14" t="s">
        <v>593</v>
      </c>
      <c r="M516" s="18" t="s">
        <v>594</v>
      </c>
      <c r="N516" s="14" t="s">
        <v>595</v>
      </c>
    </row>
    <row r="517" spans="1:14" ht="36">
      <c r="A517" s="4" t="s">
        <v>118</v>
      </c>
      <c r="B517" s="13">
        <v>2021</v>
      </c>
      <c r="C517" s="4" t="s">
        <v>463</v>
      </c>
      <c r="D517" s="15">
        <f>IF('Dados brutos atualizados'!E605="","",'Dados brutos atualizados'!E605)</f>
        <v>293512310.99000001</v>
      </c>
      <c r="E517" s="15">
        <f>IF(D517="","",D517*'Dados brutos atualizados'!G605)</f>
        <v>293512310.99000001</v>
      </c>
      <c r="F517" s="17">
        <f>IF(E517="","",Deflatores!E9)</f>
        <v>1.2527654898892322</v>
      </c>
      <c r="G517" s="15">
        <f t="shared" si="53"/>
        <v>367702094.06590801</v>
      </c>
      <c r="H517" s="15">
        <f>IF('Dados tratados'!E512="","",'Dados tratados'!E512)</f>
        <v>278264</v>
      </c>
      <c r="I517" s="15">
        <f t="shared" si="54"/>
        <v>1321.4145346358423</v>
      </c>
      <c r="J517" s="14"/>
      <c r="K517" s="14" t="s">
        <v>417</v>
      </c>
      <c r="L517" s="14" t="s">
        <v>135</v>
      </c>
      <c r="M517" s="18" t="s">
        <v>553</v>
      </c>
      <c r="N517" s="14" t="s">
        <v>466</v>
      </c>
    </row>
    <row r="518" spans="1:14" ht="36">
      <c r="A518" s="4" t="s">
        <v>118</v>
      </c>
      <c r="B518" s="13">
        <v>2021</v>
      </c>
      <c r="C518" s="4" t="s">
        <v>467</v>
      </c>
      <c r="D518" s="15">
        <f>IF('Dados brutos atualizados'!E606="","",'Dados brutos atualizados'!E606)</f>
        <v>99517076.840000004</v>
      </c>
      <c r="E518" s="15">
        <f>IF(D518="","",D518*'Dados brutos atualizados'!G606)</f>
        <v>99517076.840000004</v>
      </c>
      <c r="F518" s="17">
        <f>IF(E518="","",Deflatores!E9)</f>
        <v>1.2527654898892322</v>
      </c>
      <c r="G518" s="15">
        <f t="shared" si="53"/>
        <v>124671559.51980697</v>
      </c>
      <c r="H518" s="15">
        <f>IF('Dados tratados'!E512="","",'Dados tratados'!E512)</f>
        <v>278264</v>
      </c>
      <c r="I518" s="15">
        <f t="shared" si="54"/>
        <v>448.033376648819</v>
      </c>
      <c r="J518" s="14"/>
      <c r="K518" s="14" t="s">
        <v>417</v>
      </c>
      <c r="L518" s="14" t="s">
        <v>135</v>
      </c>
      <c r="M518" s="18" t="s">
        <v>553</v>
      </c>
      <c r="N518" s="14" t="s">
        <v>466</v>
      </c>
    </row>
    <row r="519" spans="1:14" ht="24">
      <c r="A519" s="4" t="s">
        <v>118</v>
      </c>
      <c r="B519" s="13">
        <v>2022</v>
      </c>
      <c r="C519" s="4" t="s">
        <v>416</v>
      </c>
      <c r="D519" s="15">
        <f>IF('Dados brutos atualizados'!E607="","",'Dados brutos atualizados'!E607)</f>
        <v>140229049.44</v>
      </c>
      <c r="E519" s="15">
        <f>IF(D519="","",D519*'Dados brutos atualizados'!G607)</f>
        <v>140229049.44</v>
      </c>
      <c r="F519" s="17">
        <f>IF(E519="","",Deflatores!E10)</f>
        <v>1.1463801918918652</v>
      </c>
      <c r="G519" s="15">
        <f t="shared" si="53"/>
        <v>160755804.60584104</v>
      </c>
      <c r="H519" s="15">
        <f>IF('Dados tratados'!E528="","",'Dados tratados'!E528)</f>
        <v>286120</v>
      </c>
      <c r="I519" s="15">
        <f t="shared" si="54"/>
        <v>561.84749268083681</v>
      </c>
      <c r="J519" s="14"/>
      <c r="K519" s="14" t="s">
        <v>417</v>
      </c>
      <c r="L519" s="14" t="s">
        <v>135</v>
      </c>
      <c r="M519" s="18" t="s">
        <v>556</v>
      </c>
      <c r="N519" s="14" t="s">
        <v>420</v>
      </c>
    </row>
    <row r="520" spans="1:14" ht="15.75">
      <c r="A520" s="4" t="s">
        <v>118</v>
      </c>
      <c r="B520" s="13">
        <v>2022</v>
      </c>
      <c r="C520" s="4" t="s">
        <v>422</v>
      </c>
      <c r="D520" s="15">
        <f>IF('Dados brutos atualizados'!E608="","",'Dados brutos atualizados'!E608)</f>
        <v>53.88</v>
      </c>
      <c r="E520" s="15">
        <f>IF(D520="","",D520*'Dados brutos atualizados'!G608)</f>
        <v>53.88</v>
      </c>
      <c r="F520" s="4"/>
      <c r="G520" s="14"/>
      <c r="H520" s="14"/>
      <c r="I520" s="14"/>
      <c r="J520" s="15">
        <f>IF(D520="","",D520)</f>
        <v>53.88</v>
      </c>
      <c r="K520" s="14" t="s">
        <v>423</v>
      </c>
      <c r="L520" s="14" t="s">
        <v>135</v>
      </c>
      <c r="M520" s="18" t="s">
        <v>557</v>
      </c>
      <c r="N520" s="14" t="s">
        <v>426</v>
      </c>
    </row>
    <row r="521" spans="1:14" ht="24">
      <c r="A521" s="4" t="s">
        <v>118</v>
      </c>
      <c r="B521" s="13">
        <v>2022</v>
      </c>
      <c r="C521" s="4" t="s">
        <v>428</v>
      </c>
      <c r="D521" s="15">
        <f>IF('Dados brutos atualizados'!E609="","",'Dados brutos atualizados'!E609)</f>
        <v>50423467.020000003</v>
      </c>
      <c r="E521" s="15">
        <f>IF(D521="","",D521*'Dados brutos atualizados'!G609)</f>
        <v>50423467.020000003</v>
      </c>
      <c r="F521" s="17">
        <f>IF(E521="","",Deflatores!E10)</f>
        <v>1.1463801918918652</v>
      </c>
      <c r="G521" s="15">
        <f t="shared" ref="G521:G527" si="55">IF(OR(E521="",F521=""),"",E521*F521)</f>
        <v>57804463.798240744</v>
      </c>
      <c r="H521" s="14"/>
      <c r="I521" s="14"/>
      <c r="J521" s="14"/>
      <c r="K521" s="14" t="s">
        <v>417</v>
      </c>
      <c r="L521" s="14" t="s">
        <v>431</v>
      </c>
      <c r="M521" s="18" t="s">
        <v>556</v>
      </c>
      <c r="N521" s="14" t="s">
        <v>432</v>
      </c>
    </row>
    <row r="522" spans="1:14" ht="15.75">
      <c r="A522" s="4" t="s">
        <v>118</v>
      </c>
      <c r="B522" s="13">
        <v>2022</v>
      </c>
      <c r="C522" s="4" t="s">
        <v>433</v>
      </c>
      <c r="D522" s="15">
        <f>IF('Dados brutos atualizados'!E610="","",'Dados brutos atualizados'!E610)</f>
        <v>830659847.61000001</v>
      </c>
      <c r="E522" s="15">
        <f>IF(D522="","",D522*'Dados brutos atualizados'!G610)</f>
        <v>830659847.61000001</v>
      </c>
      <c r="F522" s="17">
        <f>IF(E522="","",Deflatores!E10)</f>
        <v>1.1463801918918652</v>
      </c>
      <c r="G522" s="15">
        <f t="shared" si="55"/>
        <v>952251995.50001931</v>
      </c>
      <c r="H522" s="15">
        <f>IF('Dados tratados'!E528="","",'Dados tratados'!E528)</f>
        <v>286120</v>
      </c>
      <c r="I522" s="15">
        <f>IF(OR(G522="",H522="",H522=0),"",G522/H522)</f>
        <v>3328.1560027261962</v>
      </c>
      <c r="J522" s="14"/>
      <c r="K522" s="14" t="s">
        <v>417</v>
      </c>
      <c r="L522" s="14" t="s">
        <v>135</v>
      </c>
      <c r="M522" s="18" t="s">
        <v>558</v>
      </c>
      <c r="N522" s="14" t="s">
        <v>436</v>
      </c>
    </row>
    <row r="523" spans="1:14" ht="15.75">
      <c r="A523" s="4" t="s">
        <v>118</v>
      </c>
      <c r="B523" s="13">
        <v>2022</v>
      </c>
      <c r="C523" s="4" t="s">
        <v>438</v>
      </c>
      <c r="D523" s="15">
        <f>IF('Dados brutos atualizados'!E611="","",'Dados brutos atualizados'!E611)</f>
        <v>821647388.13999999</v>
      </c>
      <c r="E523" s="15">
        <f>IF(D523="","",D523*'Dados brutos atualizados'!G611)</f>
        <v>821647388.13999999</v>
      </c>
      <c r="F523" s="17">
        <f>IF(E523="","",Deflatores!E10)</f>
        <v>1.1463801918918652</v>
      </c>
      <c r="G523" s="15">
        <f t="shared" si="55"/>
        <v>941920290.48338306</v>
      </c>
      <c r="H523" s="15">
        <f>IF('Dados tratados'!E528="","",'Dados tratados'!E528)</f>
        <v>286120</v>
      </c>
      <c r="I523" s="15">
        <f>IF(OR(G523="",H523="",H523=0),"",G523/H523)</f>
        <v>3292.0463109303196</v>
      </c>
      <c r="J523" s="14"/>
      <c r="K523" s="14" t="s">
        <v>417</v>
      </c>
      <c r="L523" s="14" t="s">
        <v>135</v>
      </c>
      <c r="M523" s="18" t="s">
        <v>558</v>
      </c>
      <c r="N523" s="14" t="s">
        <v>436</v>
      </c>
    </row>
    <row r="524" spans="1:14" ht="15.75">
      <c r="A524" s="4" t="s">
        <v>118</v>
      </c>
      <c r="B524" s="13">
        <v>2022</v>
      </c>
      <c r="C524" s="4" t="s">
        <v>440</v>
      </c>
      <c r="D524" s="15">
        <f>IF('Dados brutos atualizados'!E612="","",'Dados brutos atualizados'!E612)</f>
        <v>786618006.24000001</v>
      </c>
      <c r="E524" s="15">
        <f>IF(D524="","",D524*'Dados brutos atualizados'!G612)</f>
        <v>786618006.24000001</v>
      </c>
      <c r="F524" s="17">
        <f>IF(E524="","",Deflatores!E10)</f>
        <v>1.1463801918918652</v>
      </c>
      <c r="G524" s="15">
        <f t="shared" si="55"/>
        <v>901763300.93900764</v>
      </c>
      <c r="H524" s="15">
        <f>IF('Dados tratados'!E528="","",'Dados tratados'!E528)</f>
        <v>286120</v>
      </c>
      <c r="I524" s="15">
        <f>IF(OR(G524="",H524="",H524=0),"",G524/H524)</f>
        <v>3151.696144760966</v>
      </c>
      <c r="J524" s="14"/>
      <c r="K524" s="14" t="s">
        <v>417</v>
      </c>
      <c r="L524" s="14" t="s">
        <v>135</v>
      </c>
      <c r="M524" s="18" t="s">
        <v>558</v>
      </c>
      <c r="N524" s="14" t="s">
        <v>436</v>
      </c>
    </row>
    <row r="525" spans="1:14" ht="15.75">
      <c r="A525" s="4" t="s">
        <v>118</v>
      </c>
      <c r="B525" s="13">
        <v>2022</v>
      </c>
      <c r="C525" s="4" t="s">
        <v>442</v>
      </c>
      <c r="D525" s="15">
        <f>IF('Dados brutos atualizados'!E613="","",'Dados brutos atualizados'!E613)</f>
        <v>418626238.45999998</v>
      </c>
      <c r="E525" s="15">
        <f>IF(D525="","",D525*'Dados brutos atualizados'!G613)</f>
        <v>418626238.45999998</v>
      </c>
      <c r="F525" s="17">
        <f>IF(E525="","",Deflatores!E10)</f>
        <v>1.1463801918918652</v>
      </c>
      <c r="G525" s="15">
        <f t="shared" si="55"/>
        <v>479904827.5767445</v>
      </c>
      <c r="H525" s="15">
        <f>IF('Dados tratados'!E528="","",'Dados tratados'!E528)</f>
        <v>286120</v>
      </c>
      <c r="I525" s="15">
        <f>IF(OR(G525="",H525="",H525=0),"",G525/H525)</f>
        <v>1677.285151603329</v>
      </c>
      <c r="J525" s="14"/>
      <c r="K525" s="14" t="s">
        <v>417</v>
      </c>
      <c r="L525" s="14" t="s">
        <v>135</v>
      </c>
      <c r="M525" s="18" t="s">
        <v>557</v>
      </c>
      <c r="N525" s="14" t="s">
        <v>444</v>
      </c>
    </row>
    <row r="526" spans="1:14" ht="24">
      <c r="A526" s="4" t="s">
        <v>118</v>
      </c>
      <c r="B526" s="13">
        <v>2022</v>
      </c>
      <c r="C526" s="4" t="s">
        <v>394</v>
      </c>
      <c r="D526" s="15">
        <f>IF('Dados brutos atualizados'!E614="","",'Dados brutos atualizados'!E614)</f>
        <v>5783730.2089999998</v>
      </c>
      <c r="E526" s="15">
        <f>IF(D526="","",D526*'Dados brutos atualizados'!G614)</f>
        <v>5783730209</v>
      </c>
      <c r="F526" s="17">
        <f>IF(E526="","",Deflatores!E10)</f>
        <v>1.1463801918918652</v>
      </c>
      <c r="G526" s="15">
        <f t="shared" si="55"/>
        <v>6630353746.8441982</v>
      </c>
      <c r="H526" s="15">
        <f>IF('Dados tratados'!E528="","",'Dados tratados'!E528)</f>
        <v>286120</v>
      </c>
      <c r="I526" s="15">
        <f>IF(OR(G526="",H526="",H526=0),"",G526/H526)</f>
        <v>23173.331982539486</v>
      </c>
      <c r="J526" s="14"/>
      <c r="K526" s="14" t="s">
        <v>395</v>
      </c>
      <c r="L526" s="14" t="s">
        <v>135</v>
      </c>
      <c r="M526" s="18" t="s">
        <v>399</v>
      </c>
      <c r="N526" s="14" t="s">
        <v>398</v>
      </c>
    </row>
    <row r="527" spans="1:14" ht="24">
      <c r="A527" s="4" t="s">
        <v>118</v>
      </c>
      <c r="B527" s="13">
        <v>2022</v>
      </c>
      <c r="C527" s="4" t="s">
        <v>400</v>
      </c>
      <c r="D527" s="15">
        <f>IF('Dados brutos atualizados'!E615="","",'Dados brutos atualizados'!E615)</f>
        <v>20214.349999999999</v>
      </c>
      <c r="E527" s="15">
        <f>IF(D527="","",D527*'Dados brutos atualizados'!G615)</f>
        <v>20214.349999999999</v>
      </c>
      <c r="F527" s="17">
        <f>IF(E527="","",Deflatores!E10)</f>
        <v>1.1463801918918652</v>
      </c>
      <c r="G527" s="15">
        <f t="shared" si="55"/>
        <v>23173.330431969323</v>
      </c>
      <c r="H527" s="14"/>
      <c r="I527" s="14"/>
      <c r="J527" s="14"/>
      <c r="K527" s="14" t="s">
        <v>401</v>
      </c>
      <c r="L527" s="14" t="s">
        <v>135</v>
      </c>
      <c r="M527" s="18" t="s">
        <v>399</v>
      </c>
      <c r="N527" s="14" t="s">
        <v>404</v>
      </c>
    </row>
    <row r="528" spans="1:14" ht="15.75">
      <c r="A528" s="4" t="s">
        <v>118</v>
      </c>
      <c r="B528" s="13">
        <v>2022</v>
      </c>
      <c r="C528" s="4" t="s">
        <v>445</v>
      </c>
      <c r="D528" s="15">
        <f>IF('Dados brutos atualizados'!E616="","",'Dados brutos atualizados'!E616)</f>
        <v>286120</v>
      </c>
      <c r="E528" s="15">
        <f>IF(D528="","",D528*'Dados brutos atualizados'!G616)</f>
        <v>286120</v>
      </c>
      <c r="F528" s="4"/>
      <c r="G528" s="14"/>
      <c r="H528" s="14"/>
      <c r="I528" s="14"/>
      <c r="J528" s="15">
        <f>IF(D528="","",D528)</f>
        <v>286120</v>
      </c>
      <c r="K528" s="14" t="s">
        <v>446</v>
      </c>
      <c r="L528" s="14" t="s">
        <v>510</v>
      </c>
      <c r="M528" s="18" t="s">
        <v>559</v>
      </c>
      <c r="N528" s="14" t="s">
        <v>511</v>
      </c>
    </row>
    <row r="529" spans="1:14" ht="15.75">
      <c r="A529" s="4" t="s">
        <v>118</v>
      </c>
      <c r="B529" s="13">
        <v>2022</v>
      </c>
      <c r="C529" s="4" t="s">
        <v>452</v>
      </c>
      <c r="D529" s="15">
        <f>IF('Dados brutos atualizados'!E617="","",'Dados brutos atualizados'!E617)</f>
        <v>777407975.14999998</v>
      </c>
      <c r="E529" s="15">
        <f>IF(D529="","",D529*'Dados brutos atualizados'!G617)</f>
        <v>777407975.14999998</v>
      </c>
      <c r="F529" s="17">
        <f>IF(E529="","",Deflatores!E10)</f>
        <v>1.1463801918918652</v>
      </c>
      <c r="G529" s="15">
        <f t="shared" ref="G529:G535" si="56">IF(OR(E529="",F529=""),"",E529*F529)</f>
        <v>891205103.73072338</v>
      </c>
      <c r="H529" s="15">
        <f>IF('Dados tratados'!E528="","",'Dados tratados'!E528)</f>
        <v>286120</v>
      </c>
      <c r="I529" s="15">
        <f t="shared" ref="I529:I535" si="57">IF(OR(G529="",H529="",H529=0),"",G529/H529)</f>
        <v>3114.7948543643347</v>
      </c>
      <c r="J529" s="14"/>
      <c r="K529" s="14" t="s">
        <v>417</v>
      </c>
      <c r="L529" s="14" t="s">
        <v>135</v>
      </c>
      <c r="M529" s="18" t="s">
        <v>557</v>
      </c>
      <c r="N529" s="14" t="s">
        <v>455</v>
      </c>
    </row>
    <row r="530" spans="1:14" ht="15.75">
      <c r="A530" s="4" t="s">
        <v>118</v>
      </c>
      <c r="B530" s="13">
        <v>2022</v>
      </c>
      <c r="C530" s="4" t="s">
        <v>456</v>
      </c>
      <c r="D530" s="15">
        <f>IF('Dados brutos atualizados'!E618="","",'Dados brutos atualizados'!E618)</f>
        <v>776932368.14999998</v>
      </c>
      <c r="E530" s="15">
        <f>IF(D530="","",D530*'Dados brutos atualizados'!G618)</f>
        <v>776932368.14999998</v>
      </c>
      <c r="F530" s="17">
        <f>IF(E530="","",Deflatores!E10)</f>
        <v>1.1463801918918652</v>
      </c>
      <c r="G530" s="15">
        <f t="shared" si="56"/>
        <v>890659877.28679824</v>
      </c>
      <c r="H530" s="15">
        <f>IF('Dados tratados'!E528="","",'Dados tratados'!E528)</f>
        <v>286120</v>
      </c>
      <c r="I530" s="15">
        <f t="shared" si="57"/>
        <v>3112.8892677435979</v>
      </c>
      <c r="J530" s="14"/>
      <c r="K530" s="14" t="s">
        <v>417</v>
      </c>
      <c r="L530" s="14" t="s">
        <v>135</v>
      </c>
      <c r="M530" s="18" t="s">
        <v>557</v>
      </c>
      <c r="N530" s="14" t="s">
        <v>459</v>
      </c>
    </row>
    <row r="531" spans="1:14" ht="15.75">
      <c r="A531" s="4" t="s">
        <v>118</v>
      </c>
      <c r="B531" s="13">
        <v>2022</v>
      </c>
      <c r="C531" s="4" t="s">
        <v>460</v>
      </c>
      <c r="D531" s="15">
        <f>IF('Dados brutos atualizados'!E619="","",'Dados brutos atualizados'!E619)</f>
        <v>956209779.94000006</v>
      </c>
      <c r="E531" s="15">
        <f>IF(D531="","",D531*'Dados brutos atualizados'!G619)</f>
        <v>956209779.94000006</v>
      </c>
      <c r="F531" s="17">
        <f>IF(E531="","",Deflatores!E10)</f>
        <v>1.1463801918918652</v>
      </c>
      <c r="G531" s="15">
        <f t="shared" si="56"/>
        <v>1096179951.0164955</v>
      </c>
      <c r="H531" s="15">
        <f>IF('Dados tratados'!E528="","",'Dados tratados'!E528)</f>
        <v>286120</v>
      </c>
      <c r="I531" s="15">
        <f t="shared" si="57"/>
        <v>3831.1895394117696</v>
      </c>
      <c r="J531" s="14"/>
      <c r="K531" s="14" t="s">
        <v>417</v>
      </c>
      <c r="L531" s="14" t="s">
        <v>135</v>
      </c>
      <c r="M531" s="18" t="s">
        <v>556</v>
      </c>
      <c r="N531" s="14" t="s">
        <v>462</v>
      </c>
    </row>
    <row r="532" spans="1:14" ht="24">
      <c r="A532" s="4" t="s">
        <v>118</v>
      </c>
      <c r="B532" s="13">
        <v>2022</v>
      </c>
      <c r="C532" s="4" t="s">
        <v>592</v>
      </c>
      <c r="D532" s="15">
        <f>IF(OR('Dados tratados'!E531="",'Dados tratados'!E521=""),"",'Dados tratados'!E531-'Dados tratados'!E521)</f>
        <v>905786312.92000008</v>
      </c>
      <c r="E532" s="15">
        <f>IF(D532="","",D532)</f>
        <v>905786312.92000008</v>
      </c>
      <c r="F532" s="17">
        <f>IF(E532="","",Deflatores!E10)</f>
        <v>1.1463801918918652</v>
      </c>
      <c r="G532" s="15">
        <f t="shared" si="56"/>
        <v>1038375487.2182548</v>
      </c>
      <c r="H532" s="15">
        <f>IF('Dados tratados'!E528="","",'Dados tratados'!E528)</f>
        <v>286120</v>
      </c>
      <c r="I532" s="15">
        <f t="shared" si="57"/>
        <v>3629.1607969322481</v>
      </c>
      <c r="J532" s="14"/>
      <c r="K532" s="14" t="s">
        <v>417</v>
      </c>
      <c r="L532" s="14" t="s">
        <v>593</v>
      </c>
      <c r="M532" s="18" t="s">
        <v>594</v>
      </c>
      <c r="N532" s="14" t="s">
        <v>595</v>
      </c>
    </row>
    <row r="533" spans="1:14" ht="36">
      <c r="A533" s="4" t="s">
        <v>118</v>
      </c>
      <c r="B533" s="13">
        <v>2022</v>
      </c>
      <c r="C533" s="4" t="s">
        <v>463</v>
      </c>
      <c r="D533" s="15">
        <f>IF('Dados brutos atualizados'!E620="","",'Dados brutos atualizados'!E620)</f>
        <v>368645771.56999999</v>
      </c>
      <c r="E533" s="15">
        <f>IF(D533="","",D533*'Dados brutos atualizados'!G620)</f>
        <v>368645771.56999999</v>
      </c>
      <c r="F533" s="17">
        <f>IF(E533="","",Deflatores!E10)</f>
        <v>1.1463801918918652</v>
      </c>
      <c r="G533" s="15">
        <f t="shared" si="56"/>
        <v>422608210.35254133</v>
      </c>
      <c r="H533" s="15">
        <f>IF('Dados tratados'!E528="","",'Dados tratados'!E528)</f>
        <v>286120</v>
      </c>
      <c r="I533" s="15">
        <f t="shared" si="57"/>
        <v>1477.03135171446</v>
      </c>
      <c r="J533" s="14"/>
      <c r="K533" s="14" t="s">
        <v>417</v>
      </c>
      <c r="L533" s="14" t="s">
        <v>135</v>
      </c>
      <c r="M533" s="18" t="s">
        <v>556</v>
      </c>
      <c r="N533" s="14" t="s">
        <v>466</v>
      </c>
    </row>
    <row r="534" spans="1:14" ht="36">
      <c r="A534" s="4" t="s">
        <v>118</v>
      </c>
      <c r="B534" s="13">
        <v>2022</v>
      </c>
      <c r="C534" s="4" t="s">
        <v>467</v>
      </c>
      <c r="D534" s="15">
        <f>IF('Dados brutos atualizados'!E621="","",'Dados brutos atualizados'!E621)</f>
        <v>106534080.25</v>
      </c>
      <c r="E534" s="15">
        <f>IF(D534="","",D534*'Dados brutos atualizados'!G621)</f>
        <v>106534080.25</v>
      </c>
      <c r="F534" s="17">
        <f>IF(E534="","",Deflatores!E10)</f>
        <v>1.1463801918918652</v>
      </c>
      <c r="G534" s="15">
        <f t="shared" si="56"/>
        <v>122128559.36001837</v>
      </c>
      <c r="H534" s="15">
        <f>IF('Dados tratados'!E528="","",'Dados tratados'!E528)</f>
        <v>286120</v>
      </c>
      <c r="I534" s="15">
        <f t="shared" si="57"/>
        <v>426.84383950796297</v>
      </c>
      <c r="J534" s="14"/>
      <c r="K534" s="14" t="s">
        <v>417</v>
      </c>
      <c r="L534" s="14" t="s">
        <v>135</v>
      </c>
      <c r="M534" s="18" t="s">
        <v>556</v>
      </c>
      <c r="N534" s="14" t="s">
        <v>466</v>
      </c>
    </row>
    <row r="535" spans="1:14" ht="24">
      <c r="A535" s="4" t="s">
        <v>118</v>
      </c>
      <c r="B535" s="13">
        <v>2023</v>
      </c>
      <c r="C535" s="4" t="s">
        <v>416</v>
      </c>
      <c r="D535" s="15">
        <f>IF('Dados brutos atualizados'!E622="","",'Dados brutos atualizados'!E622)</f>
        <v>160515698.93000001</v>
      </c>
      <c r="E535" s="15">
        <f>IF(D535="","",D535*'Dados brutos atualizados'!G622)</f>
        <v>160515698.93000001</v>
      </c>
      <c r="F535" s="17">
        <f>IF(E535="","",Deflatores!E11)</f>
        <v>1.0960332174874714</v>
      </c>
      <c r="G535" s="15">
        <f t="shared" si="56"/>
        <v>175930537.95549819</v>
      </c>
      <c r="H535" s="15" t="str">
        <f>IF('Dados tratados'!E550="","",'Dados tratados'!E550)</f>
        <v/>
      </c>
      <c r="I535" s="15" t="str">
        <f t="shared" si="57"/>
        <v/>
      </c>
      <c r="J535" s="14"/>
      <c r="K535" s="14" t="s">
        <v>417</v>
      </c>
      <c r="L535" s="14" t="s">
        <v>135</v>
      </c>
      <c r="M535" s="18" t="s">
        <v>560</v>
      </c>
      <c r="N535" s="14" t="s">
        <v>420</v>
      </c>
    </row>
    <row r="536" spans="1:14" ht="15.75">
      <c r="A536" s="4" t="s">
        <v>118</v>
      </c>
      <c r="B536" s="13">
        <v>2023</v>
      </c>
      <c r="C536" s="4" t="s">
        <v>422</v>
      </c>
      <c r="D536" s="15">
        <f>IF('Dados brutos atualizados'!E623="","",'Dados brutos atualizados'!E623)</f>
        <v>53.78</v>
      </c>
      <c r="E536" s="15">
        <f>IF(D536="","",D536*'Dados brutos atualizados'!G623)</f>
        <v>53.78</v>
      </c>
      <c r="F536" s="4"/>
      <c r="G536" s="14"/>
      <c r="H536" s="14"/>
      <c r="I536" s="14"/>
      <c r="J536" s="15">
        <f>IF(D536="","",D536)</f>
        <v>53.78</v>
      </c>
      <c r="K536" s="14" t="s">
        <v>423</v>
      </c>
      <c r="L536" s="14" t="s">
        <v>135</v>
      </c>
      <c r="M536" s="18" t="s">
        <v>561</v>
      </c>
      <c r="N536" s="14" t="s">
        <v>426</v>
      </c>
    </row>
    <row r="537" spans="1:14" ht="24">
      <c r="A537" s="4" t="s">
        <v>118</v>
      </c>
      <c r="B537" s="13">
        <v>2023</v>
      </c>
      <c r="C537" s="4" t="s">
        <v>428</v>
      </c>
      <c r="D537" s="15">
        <f>IF('Dados brutos atualizados'!E624="","",'Dados brutos atualizados'!E624)</f>
        <v>52394076.740000002</v>
      </c>
      <c r="E537" s="15">
        <f>IF(D537="","",D537*'Dados brutos atualizados'!G624)</f>
        <v>52394076.740000002</v>
      </c>
      <c r="F537" s="17">
        <f>IF(E537="","",Deflatores!E11)</f>
        <v>1.0960332174874714</v>
      </c>
      <c r="G537" s="15">
        <f>IF(OR(E537="",F537=""),"",E537*F537)</f>
        <v>57425648.506627686</v>
      </c>
      <c r="H537" s="14"/>
      <c r="I537" s="14"/>
      <c r="J537" s="14"/>
      <c r="K537" s="14" t="s">
        <v>417</v>
      </c>
      <c r="L537" s="14" t="s">
        <v>431</v>
      </c>
      <c r="M537" s="18" t="s">
        <v>560</v>
      </c>
      <c r="N537" s="14" t="s">
        <v>432</v>
      </c>
    </row>
    <row r="538" spans="1:14" ht="15.75">
      <c r="A538" s="4" t="s">
        <v>118</v>
      </c>
      <c r="B538" s="13">
        <v>2023</v>
      </c>
      <c r="C538" s="4" t="s">
        <v>433</v>
      </c>
      <c r="D538" s="15">
        <f>IF('Dados brutos atualizados'!E625="","",'Dados brutos atualizados'!E625)</f>
        <v>913803631.22000003</v>
      </c>
      <c r="E538" s="15">
        <f>IF(D538="","",D538*'Dados brutos atualizados'!G625)</f>
        <v>913803631.22000003</v>
      </c>
      <c r="F538" s="17">
        <f>IF(E538="","",Deflatores!E11)</f>
        <v>1.0960332174874714</v>
      </c>
      <c r="G538" s="15">
        <f>IF(OR(E538="",F538=""),"",E538*F538)</f>
        <v>1001559134.0777915</v>
      </c>
      <c r="H538" s="15" t="str">
        <f>IF('Dados tratados'!E550="","",'Dados tratados'!E550)</f>
        <v/>
      </c>
      <c r="I538" s="15" t="str">
        <f>IF(OR(G538="",H538="",H538=0),"",G538/H538)</f>
        <v/>
      </c>
      <c r="J538" s="14"/>
      <c r="K538" s="14" t="s">
        <v>417</v>
      </c>
      <c r="L538" s="14" t="s">
        <v>135</v>
      </c>
      <c r="M538" s="18" t="s">
        <v>562</v>
      </c>
      <c r="N538" s="14" t="s">
        <v>436</v>
      </c>
    </row>
    <row r="539" spans="1:14" ht="15.75">
      <c r="A539" s="4" t="s">
        <v>118</v>
      </c>
      <c r="B539" s="13">
        <v>2023</v>
      </c>
      <c r="C539" s="4" t="s">
        <v>438</v>
      </c>
      <c r="D539" s="15">
        <f>IF('Dados brutos atualizados'!E626="","",'Dados brutos atualizados'!E626)</f>
        <v>900864379.65999997</v>
      </c>
      <c r="E539" s="15">
        <f>IF(D539="","",D539*'Dados brutos atualizados'!G626)</f>
        <v>900864379.65999997</v>
      </c>
      <c r="F539" s="17">
        <f>IF(E539="","",Deflatores!E11)</f>
        <v>1.0960332174874714</v>
      </c>
      <c r="G539" s="15">
        <f>IF(OR(E539="",F539=""),"",E539*F539)</f>
        <v>987377284.55860472</v>
      </c>
      <c r="H539" s="15" t="str">
        <f>IF('Dados tratados'!E550="","",'Dados tratados'!E550)</f>
        <v/>
      </c>
      <c r="I539" s="15" t="str">
        <f>IF(OR(G539="",H539="",H539=0),"",G539/H539)</f>
        <v/>
      </c>
      <c r="J539" s="14"/>
      <c r="K539" s="14" t="s">
        <v>417</v>
      </c>
      <c r="L539" s="14" t="s">
        <v>135</v>
      </c>
      <c r="M539" s="18" t="s">
        <v>562</v>
      </c>
      <c r="N539" s="14" t="s">
        <v>436</v>
      </c>
    </row>
    <row r="540" spans="1:14" ht="15.75">
      <c r="A540" s="4" t="s">
        <v>118</v>
      </c>
      <c r="B540" s="13">
        <v>2023</v>
      </c>
      <c r="C540" s="4" t="s">
        <v>440</v>
      </c>
      <c r="D540" s="15">
        <f>IF('Dados brutos atualizados'!E627="","",'Dados brutos atualizados'!E627)</f>
        <v>860651823.80999994</v>
      </c>
      <c r="E540" s="15">
        <f>IF(D540="","",D540*'Dados brutos atualizados'!G627)</f>
        <v>860651823.80999994</v>
      </c>
      <c r="F540" s="17">
        <f>IF(E540="","",Deflatores!E11)</f>
        <v>1.0960332174874714</v>
      </c>
      <c r="G540" s="15">
        <f>IF(OR(E540="",F540=""),"",E540*F540)</f>
        <v>943302987.58693457</v>
      </c>
      <c r="H540" s="15" t="str">
        <f>IF('Dados tratados'!E550="","",'Dados tratados'!E550)</f>
        <v/>
      </c>
      <c r="I540" s="15" t="str">
        <f>IF(OR(G540="",H540="",H540=0),"",G540/H540)</f>
        <v/>
      </c>
      <c r="J540" s="14"/>
      <c r="K540" s="14" t="s">
        <v>417</v>
      </c>
      <c r="L540" s="14" t="s">
        <v>135</v>
      </c>
      <c r="M540" s="18" t="s">
        <v>562</v>
      </c>
      <c r="N540" s="14" t="s">
        <v>436</v>
      </c>
    </row>
    <row r="541" spans="1:14" ht="15.75">
      <c r="A541" s="4" t="s">
        <v>118</v>
      </c>
      <c r="B541" s="13">
        <v>2023</v>
      </c>
      <c r="C541" s="4" t="s">
        <v>442</v>
      </c>
      <c r="D541" s="15">
        <f>IF('Dados brutos atualizados'!E628="","",'Dados brutos atualizados'!E628)</f>
        <v>417607993.31</v>
      </c>
      <c r="E541" s="15">
        <f>IF(D541="","",D541*'Dados brutos atualizados'!G628)</f>
        <v>417607993.31</v>
      </c>
      <c r="F541" s="17">
        <f>IF(E541="","",Deflatores!E11)</f>
        <v>1.0960332174874714</v>
      </c>
      <c r="G541" s="15">
        <f>IF(OR(E541="",F541=""),"",E541*F541)</f>
        <v>457712232.55604571</v>
      </c>
      <c r="H541" s="15" t="str">
        <f>IF('Dados tratados'!E550="","",'Dados tratados'!E550)</f>
        <v/>
      </c>
      <c r="I541" s="15" t="str">
        <f>IF(OR(G541="",H541="",H541=0),"",G541/H541)</f>
        <v/>
      </c>
      <c r="J541" s="14"/>
      <c r="K541" s="14" t="s">
        <v>417</v>
      </c>
      <c r="L541" s="14" t="s">
        <v>135</v>
      </c>
      <c r="M541" s="18" t="s">
        <v>561</v>
      </c>
      <c r="N541" s="14" t="s">
        <v>444</v>
      </c>
    </row>
    <row r="542" spans="1:14" ht="15.75">
      <c r="A542" s="4" t="s">
        <v>118</v>
      </c>
      <c r="B542" s="13">
        <v>2023</v>
      </c>
      <c r="C542" s="4" t="s">
        <v>374</v>
      </c>
      <c r="D542" s="15">
        <f>IF('Dados brutos atualizados'!E629="","",'Dados brutos atualizados'!E629)</f>
        <v>5.0503330000000002</v>
      </c>
      <c r="E542" s="15">
        <f>IF(D542="","",D542*'Dados brutos atualizados'!G629)</f>
        <v>5.0503330000000002</v>
      </c>
      <c r="F542" s="4"/>
      <c r="G542" s="14"/>
      <c r="H542" s="14"/>
      <c r="I542" s="14"/>
      <c r="J542" s="15">
        <f t="shared" ref="J542:J547" si="58">IF(D542="","",D542)</f>
        <v>5.0503330000000002</v>
      </c>
      <c r="K542" s="14" t="s">
        <v>375</v>
      </c>
      <c r="L542" s="14" t="s">
        <v>378</v>
      </c>
      <c r="M542" s="18" t="s">
        <v>380</v>
      </c>
      <c r="N542" s="14" t="s">
        <v>379</v>
      </c>
    </row>
    <row r="543" spans="1:14" ht="15.75">
      <c r="A543" s="4" t="s">
        <v>118</v>
      </c>
      <c r="B543" s="13">
        <v>2023</v>
      </c>
      <c r="C543" s="4" t="s">
        <v>381</v>
      </c>
      <c r="D543" s="15">
        <f>IF('Dados brutos atualizados'!E630="","",'Dados brutos atualizados'!E630)</f>
        <v>5.5389869999999997</v>
      </c>
      <c r="E543" s="15">
        <f>IF(D543="","",D543*'Dados brutos atualizados'!G630)</f>
        <v>5.5389869999999997</v>
      </c>
      <c r="F543" s="4"/>
      <c r="G543" s="14"/>
      <c r="H543" s="14"/>
      <c r="I543" s="14"/>
      <c r="J543" s="15">
        <f t="shared" si="58"/>
        <v>5.5389869999999997</v>
      </c>
      <c r="K543" s="14" t="s">
        <v>375</v>
      </c>
      <c r="L543" s="14" t="s">
        <v>378</v>
      </c>
      <c r="M543" s="18" t="s">
        <v>382</v>
      </c>
      <c r="N543" s="14" t="s">
        <v>379</v>
      </c>
    </row>
    <row r="544" spans="1:14" ht="15.75">
      <c r="A544" s="4" t="s">
        <v>118</v>
      </c>
      <c r="B544" s="13">
        <v>2023</v>
      </c>
      <c r="C544" s="4" t="s">
        <v>383</v>
      </c>
      <c r="D544" s="15">
        <f>IF('Dados brutos atualizados'!E631="","",'Dados brutos atualizados'!E631)</f>
        <v>0.96820799999999996</v>
      </c>
      <c r="E544" s="15">
        <f>IF(D544="","",D544*'Dados brutos atualizados'!G631)</f>
        <v>0.96820799999999996</v>
      </c>
      <c r="F544" s="4"/>
      <c r="G544" s="14"/>
      <c r="H544" s="14"/>
      <c r="I544" s="14"/>
      <c r="J544" s="15">
        <f t="shared" si="58"/>
        <v>0.96820799999999996</v>
      </c>
      <c r="K544" s="14" t="s">
        <v>384</v>
      </c>
      <c r="L544" s="14" t="s">
        <v>378</v>
      </c>
      <c r="M544" s="18" t="s">
        <v>380</v>
      </c>
      <c r="N544" s="14" t="s">
        <v>379</v>
      </c>
    </row>
    <row r="545" spans="1:14" ht="15.75">
      <c r="A545" s="4" t="s">
        <v>118</v>
      </c>
      <c r="B545" s="13">
        <v>2023</v>
      </c>
      <c r="C545" s="4" t="s">
        <v>386</v>
      </c>
      <c r="D545" s="15">
        <f>IF('Dados brutos atualizados'!E632="","",'Dados brutos atualizados'!E632)</f>
        <v>0.99599300000000002</v>
      </c>
      <c r="E545" s="15">
        <f>IF(D545="","",D545*'Dados brutos atualizados'!G632)</f>
        <v>0.99599300000000002</v>
      </c>
      <c r="F545" s="4"/>
      <c r="G545" s="14"/>
      <c r="H545" s="14"/>
      <c r="I545" s="14"/>
      <c r="J545" s="15">
        <f t="shared" si="58"/>
        <v>0.99599300000000002</v>
      </c>
      <c r="K545" s="14" t="s">
        <v>384</v>
      </c>
      <c r="L545" s="14" t="s">
        <v>378</v>
      </c>
      <c r="M545" s="18" t="s">
        <v>382</v>
      </c>
      <c r="N545" s="14" t="s">
        <v>379</v>
      </c>
    </row>
    <row r="546" spans="1:14" ht="24">
      <c r="A546" s="4" t="s">
        <v>118</v>
      </c>
      <c r="B546" s="13">
        <v>2023</v>
      </c>
      <c r="C546" s="4" t="s">
        <v>587</v>
      </c>
      <c r="D546" s="15">
        <f>IF(OR('Dados brutos atualizados'!E631="",'Dados brutos atualizados'!E629=""),"",'Dados brutos atualizados'!E631*'Dados brutos atualizados'!E629)</f>
        <v>4.8897728132639999</v>
      </c>
      <c r="E546" s="15">
        <f>IF(D546="","",D546)</f>
        <v>4.8897728132639999</v>
      </c>
      <c r="F546" s="4"/>
      <c r="G546" s="14"/>
      <c r="H546" s="14"/>
      <c r="I546" s="14"/>
      <c r="J546" s="15">
        <f t="shared" si="58"/>
        <v>4.8897728132639999</v>
      </c>
      <c r="K546" s="14" t="s">
        <v>588</v>
      </c>
      <c r="L546" s="14" t="s">
        <v>589</v>
      </c>
      <c r="M546" s="18" t="s">
        <v>380</v>
      </c>
      <c r="N546" s="14" t="s">
        <v>590</v>
      </c>
    </row>
    <row r="547" spans="1:14" ht="24">
      <c r="A547" s="4" t="s">
        <v>118</v>
      </c>
      <c r="B547" s="13">
        <v>2023</v>
      </c>
      <c r="C547" s="4" t="s">
        <v>591</v>
      </c>
      <c r="D547" s="15">
        <f>IF(OR('Dados brutos atualizados'!E632="",'Dados brutos atualizados'!E630=""),"",'Dados brutos atualizados'!E632*'Dados brutos atualizados'!E630)</f>
        <v>5.5167922790909998</v>
      </c>
      <c r="E547" s="15">
        <f>IF(D547="","",D547)</f>
        <v>5.5167922790909998</v>
      </c>
      <c r="F547" s="4"/>
      <c r="G547" s="14"/>
      <c r="H547" s="14"/>
      <c r="I547" s="14"/>
      <c r="J547" s="15">
        <f t="shared" si="58"/>
        <v>5.5167922790909998</v>
      </c>
      <c r="K547" s="14" t="s">
        <v>588</v>
      </c>
      <c r="L547" s="14" t="s">
        <v>589</v>
      </c>
      <c r="M547" s="18" t="s">
        <v>382</v>
      </c>
      <c r="N547" s="14" t="s">
        <v>590</v>
      </c>
    </row>
    <row r="548" spans="1:14" ht="24">
      <c r="A548" s="4" t="s">
        <v>118</v>
      </c>
      <c r="B548" s="13">
        <v>2023</v>
      </c>
      <c r="C548" s="4" t="s">
        <v>394</v>
      </c>
      <c r="D548" s="15">
        <f>IF('Dados brutos atualizados'!E633="","",'Dados brutos atualizados'!E633)</f>
        <v>6457542.6710000001</v>
      </c>
      <c r="E548" s="15">
        <f>IF(D548="","",D548*'Dados brutos atualizados'!G633)</f>
        <v>6457542671</v>
      </c>
      <c r="F548" s="17">
        <f>IF(E548="","",Deflatores!E11)</f>
        <v>1.0960332174874714</v>
      </c>
      <c r="G548" s="15">
        <f>IF(OR(E548="",F548=""),"",E548*F548)</f>
        <v>7077681270.75877</v>
      </c>
      <c r="H548" s="15" t="str">
        <f>IF('Dados tratados'!E550="","",'Dados tratados'!E550)</f>
        <v/>
      </c>
      <c r="I548" s="15" t="str">
        <f>IF(OR(G548="",H548="",H548=0),"",G548/H548)</f>
        <v/>
      </c>
      <c r="J548" s="14"/>
      <c r="K548" s="14" t="s">
        <v>395</v>
      </c>
      <c r="L548" s="14" t="s">
        <v>135</v>
      </c>
      <c r="M548" s="18" t="s">
        <v>399</v>
      </c>
      <c r="N548" s="14" t="s">
        <v>398</v>
      </c>
    </row>
    <row r="549" spans="1:14" ht="24">
      <c r="A549" s="4" t="s">
        <v>118</v>
      </c>
      <c r="B549" s="13">
        <v>2023</v>
      </c>
      <c r="C549" s="4" t="s">
        <v>400</v>
      </c>
      <c r="D549" s="15">
        <f>IF('Dados brutos atualizados'!E634="","",'Dados brutos atualizados'!E634)</f>
        <v>22569.35</v>
      </c>
      <c r="E549" s="15">
        <f>IF(D549="","",D549*'Dados brutos atualizados'!G634)</f>
        <v>22569.35</v>
      </c>
      <c r="F549" s="17">
        <f>IF(E549="","",Deflatores!E11)</f>
        <v>1.0960332174874714</v>
      </c>
      <c r="G549" s="15">
        <f>IF(OR(E549="",F549=""),"",E549*F549)</f>
        <v>24736.757297100859</v>
      </c>
      <c r="H549" s="14"/>
      <c r="I549" s="14"/>
      <c r="J549" s="14"/>
      <c r="K549" s="14" t="s">
        <v>401</v>
      </c>
      <c r="L549" s="14" t="s">
        <v>135</v>
      </c>
      <c r="M549" s="18" t="s">
        <v>399</v>
      </c>
      <c r="N549" s="14" t="s">
        <v>404</v>
      </c>
    </row>
    <row r="550" spans="1:14" ht="15.75">
      <c r="A550" s="4" t="s">
        <v>118</v>
      </c>
      <c r="B550" s="13">
        <v>2023</v>
      </c>
      <c r="C550" s="4" t="s">
        <v>445</v>
      </c>
      <c r="D550" s="15" t="str">
        <f>IF('Dados brutos atualizados'!E635="","",'Dados brutos atualizados'!E635)</f>
        <v/>
      </c>
      <c r="E550" s="15" t="str">
        <f>IF(D550="","",D550*'Dados brutos atualizados'!G635)</f>
        <v/>
      </c>
      <c r="F550" s="4"/>
      <c r="G550" s="14"/>
      <c r="H550" s="14"/>
      <c r="I550" s="14"/>
      <c r="J550" s="15" t="str">
        <f>IF(D550="","",D550)</f>
        <v/>
      </c>
      <c r="K550" s="14" t="s">
        <v>446</v>
      </c>
      <c r="L550" s="14" t="s">
        <v>519</v>
      </c>
      <c r="M550" s="18" t="s">
        <v>540</v>
      </c>
      <c r="N550" s="14" t="s">
        <v>520</v>
      </c>
    </row>
    <row r="551" spans="1:14" ht="15.75">
      <c r="A551" s="4" t="s">
        <v>118</v>
      </c>
      <c r="B551" s="13">
        <v>2023</v>
      </c>
      <c r="C551" s="4" t="s">
        <v>452</v>
      </c>
      <c r="D551" s="15">
        <f>IF('Dados brutos atualizados'!E636="","",'Dados brutos atualizados'!E636)</f>
        <v>803166082.95000005</v>
      </c>
      <c r="E551" s="15">
        <f>IF(D551="","",D551*'Dados brutos atualizados'!G636)</f>
        <v>803166082.95000005</v>
      </c>
      <c r="F551" s="17">
        <f>IF(E551="","",Deflatores!E11)</f>
        <v>1.0960332174874714</v>
      </c>
      <c r="G551" s="15">
        <f t="shared" ref="G551:G557" si="59">IF(OR(E551="",F551=""),"",E551*F551)</f>
        <v>880296706.07249784</v>
      </c>
      <c r="H551" s="15" t="str">
        <f>IF('Dados tratados'!E550="","",'Dados tratados'!E550)</f>
        <v/>
      </c>
      <c r="I551" s="15" t="str">
        <f t="shared" ref="I551:I557" si="60">IF(OR(G551="",H551="",H551=0),"",G551/H551)</f>
        <v/>
      </c>
      <c r="J551" s="14"/>
      <c r="K551" s="14" t="s">
        <v>417</v>
      </c>
      <c r="L551" s="14" t="s">
        <v>135</v>
      </c>
      <c r="M551" s="18" t="s">
        <v>561</v>
      </c>
      <c r="N551" s="14" t="s">
        <v>455</v>
      </c>
    </row>
    <row r="552" spans="1:14" ht="15.75">
      <c r="A552" s="4" t="s">
        <v>118</v>
      </c>
      <c r="B552" s="13">
        <v>2023</v>
      </c>
      <c r="C552" s="4" t="s">
        <v>456</v>
      </c>
      <c r="D552" s="15">
        <f>IF('Dados brutos atualizados'!E637="","",'Dados brutos atualizados'!E637)</f>
        <v>776441755.01999998</v>
      </c>
      <c r="E552" s="15">
        <f>IF(D552="","",D552*'Dados brutos atualizados'!G637)</f>
        <v>776441755.01999998</v>
      </c>
      <c r="F552" s="17">
        <f>IF(E552="","",Deflatores!E11)</f>
        <v>1.0960332174874714</v>
      </c>
      <c r="G552" s="15">
        <f t="shared" si="59"/>
        <v>851005954.94618964</v>
      </c>
      <c r="H552" s="15" t="str">
        <f>IF('Dados tratados'!E550="","",'Dados tratados'!E550)</f>
        <v/>
      </c>
      <c r="I552" s="15" t="str">
        <f t="shared" si="60"/>
        <v/>
      </c>
      <c r="J552" s="14"/>
      <c r="K552" s="14" t="s">
        <v>417</v>
      </c>
      <c r="L552" s="14" t="s">
        <v>135</v>
      </c>
      <c r="M552" s="18" t="s">
        <v>561</v>
      </c>
      <c r="N552" s="14" t="s">
        <v>459</v>
      </c>
    </row>
    <row r="553" spans="1:14" ht="15.75">
      <c r="A553" s="4" t="s">
        <v>118</v>
      </c>
      <c r="B553" s="13">
        <v>2023</v>
      </c>
      <c r="C553" s="4" t="s">
        <v>460</v>
      </c>
      <c r="D553" s="15">
        <f>IF('Dados brutos atualizados'!E638="","",'Dados brutos atualizados'!E638)</f>
        <v>1005175941.84</v>
      </c>
      <c r="E553" s="15">
        <f>IF(D553="","",D553*'Dados brutos atualizados'!G638)</f>
        <v>1005175941.84</v>
      </c>
      <c r="F553" s="17">
        <f>IF(E553="","",Deflatores!E11)</f>
        <v>1.0960332174874714</v>
      </c>
      <c r="G553" s="15">
        <f t="shared" si="59"/>
        <v>1101706221.6758947</v>
      </c>
      <c r="H553" s="15" t="str">
        <f>IF('Dados tratados'!E550="","",'Dados tratados'!E550)</f>
        <v/>
      </c>
      <c r="I553" s="15" t="str">
        <f t="shared" si="60"/>
        <v/>
      </c>
      <c r="J553" s="14"/>
      <c r="K553" s="14" t="s">
        <v>417</v>
      </c>
      <c r="L553" s="14" t="s">
        <v>135</v>
      </c>
      <c r="M553" s="18" t="s">
        <v>560</v>
      </c>
      <c r="N553" s="14" t="s">
        <v>462</v>
      </c>
    </row>
    <row r="554" spans="1:14" ht="24">
      <c r="A554" s="4" t="s">
        <v>118</v>
      </c>
      <c r="B554" s="13">
        <v>2023</v>
      </c>
      <c r="C554" s="4" t="s">
        <v>592</v>
      </c>
      <c r="D554" s="15">
        <f>IF(OR('Dados tratados'!E553="",'Dados tratados'!E537=""),"",'Dados tratados'!E553-'Dados tratados'!E537)</f>
        <v>952781865.10000002</v>
      </c>
      <c r="E554" s="15">
        <f>IF(D554="","",D554)</f>
        <v>952781865.10000002</v>
      </c>
      <c r="F554" s="17">
        <f>IF(E554="","",Deflatores!E11)</f>
        <v>1.0960332174874714</v>
      </c>
      <c r="G554" s="15">
        <f t="shared" si="59"/>
        <v>1044280573.1692669</v>
      </c>
      <c r="H554" s="15" t="str">
        <f>IF('Dados tratados'!E550="","",'Dados tratados'!E550)</f>
        <v/>
      </c>
      <c r="I554" s="15" t="str">
        <f t="shared" si="60"/>
        <v/>
      </c>
      <c r="J554" s="14"/>
      <c r="K554" s="14" t="s">
        <v>417</v>
      </c>
      <c r="L554" s="14" t="s">
        <v>593</v>
      </c>
      <c r="M554" s="18" t="s">
        <v>594</v>
      </c>
      <c r="N554" s="14" t="s">
        <v>595</v>
      </c>
    </row>
    <row r="555" spans="1:14" ht="36">
      <c r="A555" s="4" t="s">
        <v>118</v>
      </c>
      <c r="B555" s="13">
        <v>2023</v>
      </c>
      <c r="C555" s="4" t="s">
        <v>463</v>
      </c>
      <c r="D555" s="15">
        <f>IF('Dados brutos atualizados'!E639="","",'Dados brutos atualizados'!E639)</f>
        <v>392983436.54000002</v>
      </c>
      <c r="E555" s="15">
        <f>IF(D555="","",D555*'Dados brutos atualizados'!G639)</f>
        <v>392983436.54000002</v>
      </c>
      <c r="F555" s="17">
        <f>IF(E555="","",Deflatores!E11)</f>
        <v>1.0960332174874714</v>
      </c>
      <c r="G555" s="15">
        <f t="shared" si="59"/>
        <v>430722900.37021977</v>
      </c>
      <c r="H555" s="15" t="str">
        <f>IF('Dados tratados'!E550="","",'Dados tratados'!E550)</f>
        <v/>
      </c>
      <c r="I555" s="15" t="str">
        <f t="shared" si="60"/>
        <v/>
      </c>
      <c r="J555" s="14"/>
      <c r="K555" s="14" t="s">
        <v>417</v>
      </c>
      <c r="L555" s="14" t="s">
        <v>135</v>
      </c>
      <c r="M555" s="18" t="s">
        <v>560</v>
      </c>
      <c r="N555" s="14" t="s">
        <v>466</v>
      </c>
    </row>
    <row r="556" spans="1:14" ht="36">
      <c r="A556" s="4" t="s">
        <v>118</v>
      </c>
      <c r="B556" s="13">
        <v>2023</v>
      </c>
      <c r="C556" s="4" t="s">
        <v>467</v>
      </c>
      <c r="D556" s="15">
        <f>IF('Dados brutos atualizados'!E640="","",'Dados brutos atualizados'!E640)</f>
        <v>114300487.65000001</v>
      </c>
      <c r="E556" s="15">
        <f>IF(D556="","",D556*'Dados brutos atualizados'!G640)</f>
        <v>114300487.65000001</v>
      </c>
      <c r="F556" s="17">
        <f>IF(E556="","",Deflatores!E11)</f>
        <v>1.0960332174874714</v>
      </c>
      <c r="G556" s="15">
        <f t="shared" si="59"/>
        <v>125277131.23941649</v>
      </c>
      <c r="H556" s="15" t="str">
        <f>IF('Dados tratados'!E550="","",'Dados tratados'!E550)</f>
        <v/>
      </c>
      <c r="I556" s="15" t="str">
        <f t="shared" si="60"/>
        <v/>
      </c>
      <c r="J556" s="14"/>
      <c r="K556" s="14" t="s">
        <v>417</v>
      </c>
      <c r="L556" s="14" t="s">
        <v>135</v>
      </c>
      <c r="M556" s="18" t="s">
        <v>560</v>
      </c>
      <c r="N556" s="14" t="s">
        <v>466</v>
      </c>
    </row>
    <row r="557" spans="1:14" ht="24">
      <c r="A557" s="4" t="s">
        <v>118</v>
      </c>
      <c r="B557" s="13">
        <v>2024</v>
      </c>
      <c r="C557" s="4" t="s">
        <v>416</v>
      </c>
      <c r="D557" s="15">
        <f>IF('Dados brutos atualizados'!E641="","",'Dados brutos atualizados'!E641)</f>
        <v>175307572.30000001</v>
      </c>
      <c r="E557" s="15">
        <f>IF(D557="","",D557*'Dados brutos atualizados'!G641)</f>
        <v>175307572.30000001</v>
      </c>
      <c r="F557" s="17">
        <f>IF(E557="","",Deflatores!E12)</f>
        <v>1.0501675279604847</v>
      </c>
      <c r="G557" s="15">
        <f t="shared" si="59"/>
        <v>184102319.83504495</v>
      </c>
      <c r="H557" s="15">
        <f>IF('Dados tratados'!E564="","",'Dados tratados'!E564)</f>
        <v>303004</v>
      </c>
      <c r="I557" s="15">
        <f t="shared" si="60"/>
        <v>607.59039430187374</v>
      </c>
      <c r="J557" s="14"/>
      <c r="K557" s="14" t="s">
        <v>417</v>
      </c>
      <c r="L557" s="14" t="s">
        <v>135</v>
      </c>
      <c r="M557" s="18" t="s">
        <v>563</v>
      </c>
      <c r="N557" s="14" t="s">
        <v>420</v>
      </c>
    </row>
    <row r="558" spans="1:14" ht="15.75">
      <c r="A558" s="4" t="s">
        <v>118</v>
      </c>
      <c r="B558" s="13">
        <v>2024</v>
      </c>
      <c r="C558" s="4" t="s">
        <v>422</v>
      </c>
      <c r="D558" s="15">
        <f>IF('Dados brutos atualizados'!E642="","",'Dados brutos atualizados'!E642)</f>
        <v>48.8</v>
      </c>
      <c r="E558" s="15">
        <f>IF(D558="","",D558*'Dados brutos atualizados'!G642)</f>
        <v>48.8</v>
      </c>
      <c r="F558" s="4"/>
      <c r="G558" s="14"/>
      <c r="H558" s="14"/>
      <c r="I558" s="14"/>
      <c r="J558" s="15">
        <f>IF(D558="","",D558)</f>
        <v>48.8</v>
      </c>
      <c r="K558" s="14" t="s">
        <v>423</v>
      </c>
      <c r="L558" s="14" t="s">
        <v>135</v>
      </c>
      <c r="M558" s="18" t="s">
        <v>564</v>
      </c>
      <c r="N558" s="14" t="s">
        <v>426</v>
      </c>
    </row>
    <row r="559" spans="1:14" ht="24">
      <c r="A559" s="4" t="s">
        <v>118</v>
      </c>
      <c r="B559" s="13">
        <v>2024</v>
      </c>
      <c r="C559" s="4" t="s">
        <v>428</v>
      </c>
      <c r="D559" s="15">
        <f>IF('Dados brutos atualizados'!E643="","",'Dados brutos atualizados'!E643)</f>
        <v>58989516.75</v>
      </c>
      <c r="E559" s="15">
        <f>IF(D559="","",D559*'Dados brutos atualizados'!G643)</f>
        <v>58989516.75</v>
      </c>
      <c r="F559" s="17">
        <f>IF(E559="","",Deflatores!E12)</f>
        <v>1.0501675279604847</v>
      </c>
      <c r="G559" s="15">
        <f>IF(OR(E559="",F559=""),"",E559*F559)</f>
        <v>61948874.980931111</v>
      </c>
      <c r="H559" s="14"/>
      <c r="I559" s="14"/>
      <c r="J559" s="14"/>
      <c r="K559" s="14" t="s">
        <v>417</v>
      </c>
      <c r="L559" s="14" t="s">
        <v>431</v>
      </c>
      <c r="M559" s="18" t="s">
        <v>563</v>
      </c>
      <c r="N559" s="14" t="s">
        <v>432</v>
      </c>
    </row>
    <row r="560" spans="1:14" ht="15.75">
      <c r="A560" s="4" t="s">
        <v>118</v>
      </c>
      <c r="B560" s="13">
        <v>2024</v>
      </c>
      <c r="C560" s="4" t="s">
        <v>433</v>
      </c>
      <c r="D560" s="15">
        <f>IF('Dados brutos atualizados'!E644="","",'Dados brutos atualizados'!E644)</f>
        <v>1096929938.48</v>
      </c>
      <c r="E560" s="15">
        <f>IF(D560="","",D560*'Dados brutos atualizados'!G644)</f>
        <v>1096929938.48</v>
      </c>
      <c r="F560" s="17">
        <f>IF(E560="","",Deflatores!E12)</f>
        <v>1.0501675279604847</v>
      </c>
      <c r="G560" s="15">
        <f>IF(OR(E560="",F560=""),"",E560*F560)</f>
        <v>1151960201.8393881</v>
      </c>
      <c r="H560" s="15">
        <f>IF('Dados tratados'!E564="","",'Dados tratados'!E564)</f>
        <v>303004</v>
      </c>
      <c r="I560" s="15">
        <f>IF(OR(G560="",H560="",H560=0),"",G560/H560)</f>
        <v>3801.7986621938594</v>
      </c>
      <c r="J560" s="14"/>
      <c r="K560" s="14" t="s">
        <v>417</v>
      </c>
      <c r="L560" s="14" t="s">
        <v>135</v>
      </c>
      <c r="M560" s="18" t="s">
        <v>565</v>
      </c>
      <c r="N560" s="14" t="s">
        <v>436</v>
      </c>
    </row>
    <row r="561" spans="1:14" ht="15.75">
      <c r="A561" s="4" t="s">
        <v>118</v>
      </c>
      <c r="B561" s="13">
        <v>2024</v>
      </c>
      <c r="C561" s="4" t="s">
        <v>438</v>
      </c>
      <c r="D561" s="15">
        <f>IF('Dados brutos atualizados'!E645="","",'Dados brutos atualizados'!E645)</f>
        <v>1082828377.1400001</v>
      </c>
      <c r="E561" s="15">
        <f>IF(D561="","",D561*'Dados brutos atualizados'!G645)</f>
        <v>1082828377.1400001</v>
      </c>
      <c r="F561" s="17">
        <f>IF(E561="","",Deflatores!E12)</f>
        <v>1.0501675279604847</v>
      </c>
      <c r="G561" s="15">
        <f>IF(OR(E561="",F561=""),"",E561*F561)</f>
        <v>1137151200.0265775</v>
      </c>
      <c r="H561" s="15">
        <f>IF('Dados tratados'!E564="","",'Dados tratados'!E564)</f>
        <v>303004</v>
      </c>
      <c r="I561" s="15">
        <f>IF(OR(G561="",H561="",H561=0),"",G561/H561)</f>
        <v>3752.9247139528766</v>
      </c>
      <c r="J561" s="14"/>
      <c r="K561" s="14" t="s">
        <v>417</v>
      </c>
      <c r="L561" s="14" t="s">
        <v>135</v>
      </c>
      <c r="M561" s="18" t="s">
        <v>565</v>
      </c>
      <c r="N561" s="14" t="s">
        <v>436</v>
      </c>
    </row>
    <row r="562" spans="1:14" ht="15.75">
      <c r="A562" s="4" t="s">
        <v>118</v>
      </c>
      <c r="B562" s="13">
        <v>2024</v>
      </c>
      <c r="C562" s="4" t="s">
        <v>440</v>
      </c>
      <c r="D562" s="15">
        <f>IF('Dados brutos atualizados'!E646="","",'Dados brutos atualizados'!E646)</f>
        <v>1045849367.6799999</v>
      </c>
      <c r="E562" s="15">
        <f>IF(D562="","",D562*'Dados brutos atualizados'!G646)</f>
        <v>1045849367.6799999</v>
      </c>
      <c r="F562" s="17">
        <f>IF(E562="","",Deflatores!E12)</f>
        <v>1.0501675279604847</v>
      </c>
      <c r="G562" s="15">
        <f>IF(OR(E562="",F562=""),"",E562*F562)</f>
        <v>1098317045.0755417</v>
      </c>
      <c r="H562" s="15">
        <f>IF('Dados tratados'!E564="","",'Dados tratados'!E564)</f>
        <v>303004</v>
      </c>
      <c r="I562" s="15">
        <f>IF(OR(G562="",H562="",H562=0),"",G562/H562)</f>
        <v>3624.7608779934976</v>
      </c>
      <c r="J562" s="14"/>
      <c r="K562" s="14" t="s">
        <v>417</v>
      </c>
      <c r="L562" s="14" t="s">
        <v>135</v>
      </c>
      <c r="M562" s="18" t="s">
        <v>565</v>
      </c>
      <c r="N562" s="14" t="s">
        <v>436</v>
      </c>
    </row>
    <row r="563" spans="1:14" ht="15.75">
      <c r="A563" s="4" t="s">
        <v>118</v>
      </c>
      <c r="B563" s="13">
        <v>2024</v>
      </c>
      <c r="C563" s="4" t="s">
        <v>442</v>
      </c>
      <c r="D563" s="15">
        <f>IF('Dados brutos atualizados'!E647="","",'Dados brutos atualizados'!E647)</f>
        <v>453869228.02999997</v>
      </c>
      <c r="E563" s="15">
        <f>IF(D563="","",D563*'Dados brutos atualizados'!G647)</f>
        <v>453869228.02999997</v>
      </c>
      <c r="F563" s="17">
        <f>IF(E563="","",Deflatores!E12)</f>
        <v>1.0501675279604847</v>
      </c>
      <c r="G563" s="15">
        <f>IF(OR(E563="",F563=""),"",E563*F563)</f>
        <v>476638725.21759862</v>
      </c>
      <c r="H563" s="15">
        <f>IF('Dados tratados'!E564="","",'Dados tratados'!E564)</f>
        <v>303004</v>
      </c>
      <c r="I563" s="15">
        <f>IF(OR(G563="",H563="",H563=0),"",G563/H563)</f>
        <v>1573.0443334662202</v>
      </c>
      <c r="J563" s="14"/>
      <c r="K563" s="14" t="s">
        <v>417</v>
      </c>
      <c r="L563" s="14" t="s">
        <v>135</v>
      </c>
      <c r="M563" s="18" t="s">
        <v>564</v>
      </c>
      <c r="N563" s="14" t="s">
        <v>444</v>
      </c>
    </row>
    <row r="564" spans="1:14" ht="15.75">
      <c r="A564" s="4" t="s">
        <v>118</v>
      </c>
      <c r="B564" s="13">
        <v>2024</v>
      </c>
      <c r="C564" s="4" t="s">
        <v>445</v>
      </c>
      <c r="D564" s="15">
        <f>IF('Dados brutos atualizados'!E648="","",'Dados brutos atualizados'!E648)</f>
        <v>303004</v>
      </c>
      <c r="E564" s="15">
        <f>IF(D564="","",D564*'Dados brutos atualizados'!G648)</f>
        <v>303004</v>
      </c>
      <c r="F564" s="4"/>
      <c r="G564" s="14"/>
      <c r="H564" s="14"/>
      <c r="I564" s="14"/>
      <c r="J564" s="15">
        <f>IF(D564="","",D564)</f>
        <v>303004</v>
      </c>
      <c r="K564" s="14" t="s">
        <v>446</v>
      </c>
      <c r="L564" s="14" t="s">
        <v>449</v>
      </c>
      <c r="M564" s="18" t="s">
        <v>540</v>
      </c>
      <c r="N564" s="14" t="s">
        <v>450</v>
      </c>
    </row>
    <row r="565" spans="1:14" ht="15.75">
      <c r="A565" s="4" t="s">
        <v>118</v>
      </c>
      <c r="B565" s="13">
        <v>2024</v>
      </c>
      <c r="C565" s="4" t="s">
        <v>452</v>
      </c>
      <c r="D565" s="15">
        <f>IF('Dados brutos atualizados'!E649="","",'Dados brutos atualizados'!E649)</f>
        <v>960072874.15999997</v>
      </c>
      <c r="E565" s="15">
        <f>IF(D565="","",D565*'Dados brutos atualizados'!G649)</f>
        <v>960072874.15999997</v>
      </c>
      <c r="F565" s="17">
        <f>IF(E565="","",Deflatores!E12)</f>
        <v>1.0501675279604847</v>
      </c>
      <c r="G565" s="15">
        <f t="shared" ref="G565:G571" si="61">IF(OR(E565="",F565=""),"",E565*F565)</f>
        <v>1008237356.9185247</v>
      </c>
      <c r="H565" s="15">
        <f>IF('Dados tratados'!E564="","",'Dados tratados'!E564)</f>
        <v>303004</v>
      </c>
      <c r="I565" s="15">
        <f t="shared" ref="I565:I571" si="62">IF(OR(G565="",H565="",H565=0),"",G565/H565)</f>
        <v>3327.4721024096207</v>
      </c>
      <c r="J565" s="14"/>
      <c r="K565" s="14" t="s">
        <v>417</v>
      </c>
      <c r="L565" s="14" t="s">
        <v>135</v>
      </c>
      <c r="M565" s="18" t="s">
        <v>564</v>
      </c>
      <c r="N565" s="14" t="s">
        <v>455</v>
      </c>
    </row>
    <row r="566" spans="1:14" ht="15.75">
      <c r="A566" s="4" t="s">
        <v>118</v>
      </c>
      <c r="B566" s="13">
        <v>2024</v>
      </c>
      <c r="C566" s="4" t="s">
        <v>456</v>
      </c>
      <c r="D566" s="15">
        <f>IF('Dados brutos atualizados'!E650="","",'Dados brutos atualizados'!E650)</f>
        <v>930025252.84000003</v>
      </c>
      <c r="E566" s="15">
        <f>IF(D566="","",D566*'Dados brutos atualizados'!G650)</f>
        <v>930025252.84000003</v>
      </c>
      <c r="F566" s="17">
        <f>IF(E566="","",Deflatores!E12)</f>
        <v>1.0501675279604847</v>
      </c>
      <c r="G566" s="15">
        <f t="shared" si="61"/>
        <v>976682320.71580768</v>
      </c>
      <c r="H566" s="15">
        <f>IF('Dados tratados'!E564="","",'Dados tratados'!E564)</f>
        <v>303004</v>
      </c>
      <c r="I566" s="15">
        <f t="shared" si="62"/>
        <v>3223.3314435314637</v>
      </c>
      <c r="J566" s="14"/>
      <c r="K566" s="14" t="s">
        <v>417</v>
      </c>
      <c r="L566" s="14" t="s">
        <v>135</v>
      </c>
      <c r="M566" s="18" t="s">
        <v>564</v>
      </c>
      <c r="N566" s="14" t="s">
        <v>459</v>
      </c>
    </row>
    <row r="567" spans="1:14" ht="15.75">
      <c r="A567" s="4" t="s">
        <v>118</v>
      </c>
      <c r="B567" s="13">
        <v>2024</v>
      </c>
      <c r="C567" s="4" t="s">
        <v>460</v>
      </c>
      <c r="D567" s="15">
        <f>IF('Dados brutos atualizados'!E651="","",'Dados brutos atualizados'!E651)</f>
        <v>1180637948.7</v>
      </c>
      <c r="E567" s="15">
        <f>IF(D567="","",D567*'Dados brutos atualizados'!G651)</f>
        <v>1180637948.7</v>
      </c>
      <c r="F567" s="17">
        <f>IF(E567="","",Deflatores!E12)</f>
        <v>1.0501675279604847</v>
      </c>
      <c r="G567" s="15">
        <f t="shared" si="61"/>
        <v>1239867636.0026166</v>
      </c>
      <c r="H567" s="15">
        <f>IF('Dados tratados'!E564="","",'Dados tratados'!E564)</f>
        <v>303004</v>
      </c>
      <c r="I567" s="15">
        <f t="shared" si="62"/>
        <v>4091.9183773237864</v>
      </c>
      <c r="J567" s="14"/>
      <c r="K567" s="14" t="s">
        <v>417</v>
      </c>
      <c r="L567" s="14" t="s">
        <v>135</v>
      </c>
      <c r="M567" s="18" t="s">
        <v>563</v>
      </c>
      <c r="N567" s="14" t="s">
        <v>462</v>
      </c>
    </row>
    <row r="568" spans="1:14" ht="24">
      <c r="A568" s="4" t="s">
        <v>118</v>
      </c>
      <c r="B568" s="13">
        <v>2024</v>
      </c>
      <c r="C568" s="4" t="s">
        <v>592</v>
      </c>
      <c r="D568" s="15">
        <f>IF(OR('Dados tratados'!E567="",'Dados tratados'!E559=""),"",'Dados tratados'!E567-'Dados tratados'!E559)</f>
        <v>1121648431.95</v>
      </c>
      <c r="E568" s="15">
        <f>IF(D568="","",D568)</f>
        <v>1121648431.95</v>
      </c>
      <c r="F568" s="17">
        <f>IF(E568="","",Deflatores!E12)</f>
        <v>1.0501675279604847</v>
      </c>
      <c r="G568" s="15">
        <f t="shared" si="61"/>
        <v>1177918761.0216856</v>
      </c>
      <c r="H568" s="15">
        <f>IF('Dados tratados'!E564="","",'Dados tratados'!E564)</f>
        <v>303004</v>
      </c>
      <c r="I568" s="15">
        <f t="shared" si="62"/>
        <v>3887.4693437105966</v>
      </c>
      <c r="J568" s="14"/>
      <c r="K568" s="14" t="s">
        <v>417</v>
      </c>
      <c r="L568" s="14" t="s">
        <v>593</v>
      </c>
      <c r="M568" s="18" t="s">
        <v>594</v>
      </c>
      <c r="N568" s="14" t="s">
        <v>595</v>
      </c>
    </row>
    <row r="569" spans="1:14" ht="36">
      <c r="A569" s="4" t="s">
        <v>118</v>
      </c>
      <c r="B569" s="13">
        <v>2024</v>
      </c>
      <c r="C569" s="4" t="s">
        <v>463</v>
      </c>
      <c r="D569" s="15">
        <f>IF('Dados brutos atualizados'!E652="","",'Dados brutos atualizados'!E652)</f>
        <v>478705037.93000001</v>
      </c>
      <c r="E569" s="15">
        <f>IF(D569="","",D569*'Dados brutos atualizados'!G652)</f>
        <v>478705037.93000001</v>
      </c>
      <c r="F569" s="17">
        <f>IF(E569="","",Deflatores!E12)</f>
        <v>1.0501675279604847</v>
      </c>
      <c r="G569" s="15">
        <f t="shared" si="61"/>
        <v>502720486.30517817</v>
      </c>
      <c r="H569" s="15">
        <f>IF('Dados tratados'!E564="","",'Dados tratados'!E564)</f>
        <v>303004</v>
      </c>
      <c r="I569" s="15">
        <f t="shared" si="62"/>
        <v>1659.1216165634057</v>
      </c>
      <c r="J569" s="14"/>
      <c r="K569" s="14" t="s">
        <v>417</v>
      </c>
      <c r="L569" s="14" t="s">
        <v>135</v>
      </c>
      <c r="M569" s="18" t="s">
        <v>563</v>
      </c>
      <c r="N569" s="14" t="s">
        <v>466</v>
      </c>
    </row>
    <row r="570" spans="1:14" ht="36">
      <c r="A570" s="4" t="s">
        <v>118</v>
      </c>
      <c r="B570" s="13">
        <v>2024</v>
      </c>
      <c r="C570" s="4" t="s">
        <v>467</v>
      </c>
      <c r="D570" s="15">
        <f>IF('Dados brutos atualizados'!E653="","",'Dados brutos atualizados'!E653)</f>
        <v>124654849.45</v>
      </c>
      <c r="E570" s="15">
        <f>IF(D570="","",D570*'Dados brutos atualizados'!G653)</f>
        <v>124654849.45</v>
      </c>
      <c r="F570" s="17">
        <f>IF(E570="","",Deflatores!E12)</f>
        <v>1.0501675279604847</v>
      </c>
      <c r="G570" s="15">
        <f t="shared" si="61"/>
        <v>130908475.09519289</v>
      </c>
      <c r="H570" s="15">
        <f>IF('Dados tratados'!E564="","",'Dados tratados'!E564)</f>
        <v>303004</v>
      </c>
      <c r="I570" s="15">
        <f t="shared" si="62"/>
        <v>432.03546849280173</v>
      </c>
      <c r="J570" s="14"/>
      <c r="K570" s="14" t="s">
        <v>417</v>
      </c>
      <c r="L570" s="14" t="s">
        <v>135</v>
      </c>
      <c r="M570" s="18" t="s">
        <v>563</v>
      </c>
      <c r="N570" s="14" t="s">
        <v>466</v>
      </c>
    </row>
    <row r="571" spans="1:14" ht="24">
      <c r="A571" s="4" t="s">
        <v>118</v>
      </c>
      <c r="B571" s="13">
        <v>2025</v>
      </c>
      <c r="C571" s="4" t="s">
        <v>416</v>
      </c>
      <c r="D571" s="15">
        <f>IF('Dados brutos atualizados'!E654="","",'Dados brutos atualizados'!E654)</f>
        <v>213172043.22</v>
      </c>
      <c r="E571" s="15">
        <f>IF(D571="","",D571*'Dados brutos atualizados'!G654)</f>
        <v>213172043.22</v>
      </c>
      <c r="F571" s="17">
        <f>IF(E571="","",Deflatores!E13)</f>
        <v>1</v>
      </c>
      <c r="G571" s="15">
        <f t="shared" si="61"/>
        <v>213172043.22</v>
      </c>
      <c r="H571" s="15">
        <f>IF('Dados tratados'!E584="","",'Dados tratados'!E584)</f>
        <v>305531</v>
      </c>
      <c r="I571" s="15">
        <f t="shared" si="62"/>
        <v>697.7100301442407</v>
      </c>
      <c r="J571" s="14"/>
      <c r="K571" s="14" t="s">
        <v>417</v>
      </c>
      <c r="L571" s="14" t="s">
        <v>135</v>
      </c>
      <c r="M571" s="18" t="s">
        <v>566</v>
      </c>
      <c r="N571" s="14" t="s">
        <v>420</v>
      </c>
    </row>
    <row r="572" spans="1:14" ht="15.75">
      <c r="A572" s="4" t="s">
        <v>118</v>
      </c>
      <c r="B572" s="13">
        <v>2025</v>
      </c>
      <c r="C572" s="4" t="s">
        <v>422</v>
      </c>
      <c r="D572" s="15">
        <f>IF('Dados brutos atualizados'!E655="","",'Dados brutos atualizados'!E655)</f>
        <v>48.18</v>
      </c>
      <c r="E572" s="15">
        <f>IF(D572="","",D572*'Dados brutos atualizados'!G655)</f>
        <v>48.18</v>
      </c>
      <c r="F572" s="4"/>
      <c r="G572" s="14"/>
      <c r="H572" s="14"/>
      <c r="I572" s="14"/>
      <c r="J572" s="15">
        <f>IF(D572="","",D572)</f>
        <v>48.18</v>
      </c>
      <c r="K572" s="14" t="s">
        <v>423</v>
      </c>
      <c r="L572" s="14" t="s">
        <v>135</v>
      </c>
      <c r="M572" s="18" t="s">
        <v>567</v>
      </c>
      <c r="N572" s="14" t="s">
        <v>426</v>
      </c>
    </row>
    <row r="573" spans="1:14" ht="24">
      <c r="A573" s="4" t="s">
        <v>118</v>
      </c>
      <c r="B573" s="13">
        <v>2025</v>
      </c>
      <c r="C573" s="4" t="s">
        <v>428</v>
      </c>
      <c r="D573" s="15">
        <f>IF('Dados brutos atualizados'!E656="","",'Dados brutos atualizados'!E656)</f>
        <v>63558041.5</v>
      </c>
      <c r="E573" s="15">
        <f>IF(D573="","",D573*'Dados brutos atualizados'!G656)</f>
        <v>63558041.5</v>
      </c>
      <c r="F573" s="17">
        <f>IF(E573="","",Deflatores!E13)</f>
        <v>1</v>
      </c>
      <c r="G573" s="15">
        <f>IF(OR(E573="",F573=""),"",E573*F573)</f>
        <v>63558041.5</v>
      </c>
      <c r="H573" s="14"/>
      <c r="I573" s="14"/>
      <c r="J573" s="14"/>
      <c r="K573" s="14" t="s">
        <v>417</v>
      </c>
      <c r="L573" s="14" t="s">
        <v>431</v>
      </c>
      <c r="M573" s="18" t="s">
        <v>566</v>
      </c>
      <c r="N573" s="14" t="s">
        <v>432</v>
      </c>
    </row>
    <row r="574" spans="1:14" ht="15.75">
      <c r="A574" s="4" t="s">
        <v>118</v>
      </c>
      <c r="B574" s="13">
        <v>2025</v>
      </c>
      <c r="C574" s="4" t="s">
        <v>433</v>
      </c>
      <c r="D574" s="15">
        <f>IF('Dados brutos atualizados'!E657="","",'Dados brutos atualizados'!E657)</f>
        <v>1169395792.1600001</v>
      </c>
      <c r="E574" s="15">
        <f>IF(D574="","",D574*'Dados brutos atualizados'!G657)</f>
        <v>1169395792.1600001</v>
      </c>
      <c r="F574" s="17">
        <f>IF(E574="","",Deflatores!E13)</f>
        <v>1</v>
      </c>
      <c r="G574" s="15">
        <f>IF(OR(E574="",F574=""),"",E574*F574)</f>
        <v>1169395792.1600001</v>
      </c>
      <c r="H574" s="15">
        <f>IF('Dados tratados'!E584="","",'Dados tratados'!E584)</f>
        <v>305531</v>
      </c>
      <c r="I574" s="15">
        <f>IF(OR(G574="",H574="",H574=0),"",G574/H574)</f>
        <v>3827.4210870909992</v>
      </c>
      <c r="J574" s="14"/>
      <c r="K574" s="14" t="s">
        <v>417</v>
      </c>
      <c r="L574" s="14" t="s">
        <v>135</v>
      </c>
      <c r="M574" s="18" t="s">
        <v>568</v>
      </c>
      <c r="N574" s="14" t="s">
        <v>436</v>
      </c>
    </row>
    <row r="575" spans="1:14" ht="15.75">
      <c r="A575" s="4" t="s">
        <v>118</v>
      </c>
      <c r="B575" s="13">
        <v>2025</v>
      </c>
      <c r="C575" s="4" t="s">
        <v>438</v>
      </c>
      <c r="D575" s="15">
        <f>IF('Dados brutos atualizados'!E658="","",'Dados brutos atualizados'!E658)</f>
        <v>1146755820.26</v>
      </c>
      <c r="E575" s="15">
        <f>IF(D575="","",D575*'Dados brutos atualizados'!G658)</f>
        <v>1146755820.26</v>
      </c>
      <c r="F575" s="17">
        <f>IF(E575="","",Deflatores!E13)</f>
        <v>1</v>
      </c>
      <c r="G575" s="15">
        <f>IF(OR(E575="",F575=""),"",E575*F575)</f>
        <v>1146755820.26</v>
      </c>
      <c r="H575" s="15">
        <f>IF('Dados tratados'!E584="","",'Dados tratados'!E584)</f>
        <v>305531</v>
      </c>
      <c r="I575" s="15">
        <f>IF(OR(G575="",H575="",H575=0),"",G575/H575)</f>
        <v>3753.3206786218093</v>
      </c>
      <c r="J575" s="14"/>
      <c r="K575" s="14" t="s">
        <v>417</v>
      </c>
      <c r="L575" s="14" t="s">
        <v>135</v>
      </c>
      <c r="M575" s="18" t="s">
        <v>568</v>
      </c>
      <c r="N575" s="14" t="s">
        <v>436</v>
      </c>
    </row>
    <row r="576" spans="1:14" ht="15.75">
      <c r="A576" s="4" t="s">
        <v>118</v>
      </c>
      <c r="B576" s="13">
        <v>2025</v>
      </c>
      <c r="C576" s="4" t="s">
        <v>440</v>
      </c>
      <c r="D576" s="15">
        <f>IF('Dados brutos atualizados'!E659="","",'Dados brutos atualizados'!E659)</f>
        <v>1110340373.3</v>
      </c>
      <c r="E576" s="15">
        <f>IF(D576="","",D576*'Dados brutos atualizados'!G659)</f>
        <v>1110340373.3</v>
      </c>
      <c r="F576" s="17">
        <f>IF(E576="","",Deflatores!E13)</f>
        <v>1</v>
      </c>
      <c r="G576" s="15">
        <f>IF(OR(E576="",F576=""),"",E576*F576)</f>
        <v>1110340373.3</v>
      </c>
      <c r="H576" s="15">
        <f>IF('Dados tratados'!E584="","",'Dados tratados'!E584)</f>
        <v>305531</v>
      </c>
      <c r="I576" s="15">
        <f>IF(OR(G576="",H576="",H576=0),"",G576/H576)</f>
        <v>3634.1332738740093</v>
      </c>
      <c r="J576" s="14"/>
      <c r="K576" s="14" t="s">
        <v>417</v>
      </c>
      <c r="L576" s="14" t="s">
        <v>135</v>
      </c>
      <c r="M576" s="18" t="s">
        <v>568</v>
      </c>
      <c r="N576" s="14" t="s">
        <v>436</v>
      </c>
    </row>
    <row r="577" spans="1:14" ht="15.75">
      <c r="A577" s="4" t="s">
        <v>118</v>
      </c>
      <c r="B577" s="13">
        <v>2025</v>
      </c>
      <c r="C577" s="4" t="s">
        <v>442</v>
      </c>
      <c r="D577" s="15">
        <f>IF('Dados brutos atualizados'!E660="","",'Dados brutos atualizados'!E660)</f>
        <v>492042770.63999999</v>
      </c>
      <c r="E577" s="15">
        <f>IF(D577="","",D577*'Dados brutos atualizados'!G660)</f>
        <v>492042770.63999999</v>
      </c>
      <c r="F577" s="17">
        <f>IF(E577="","",Deflatores!E13)</f>
        <v>1</v>
      </c>
      <c r="G577" s="15">
        <f>IF(OR(E577="",F577=""),"",E577*F577)</f>
        <v>492042770.63999999</v>
      </c>
      <c r="H577" s="15">
        <f>IF('Dados tratados'!E584="","",'Dados tratados'!E584)</f>
        <v>305531</v>
      </c>
      <c r="I577" s="15">
        <f>IF(OR(G577="",H577="",H577=0),"",G577/H577)</f>
        <v>1610.4512165377653</v>
      </c>
      <c r="J577" s="14"/>
      <c r="K577" s="14" t="s">
        <v>417</v>
      </c>
      <c r="L577" s="14" t="s">
        <v>135</v>
      </c>
      <c r="M577" s="18" t="s">
        <v>567</v>
      </c>
      <c r="N577" s="14" t="s">
        <v>444</v>
      </c>
    </row>
    <row r="578" spans="1:14" ht="15.75">
      <c r="A578" s="4" t="s">
        <v>118</v>
      </c>
      <c r="B578" s="13">
        <v>2025</v>
      </c>
      <c r="C578" s="4" t="s">
        <v>374</v>
      </c>
      <c r="D578" s="15">
        <f>IF('Dados brutos atualizados'!E661="","",'Dados brutos atualizados'!E661)</f>
        <v>5.0735000000000001</v>
      </c>
      <c r="E578" s="15">
        <f>IF(D578="","",D578*'Dados brutos atualizados'!G661)</f>
        <v>5.0735000000000001</v>
      </c>
      <c r="F578" s="4"/>
      <c r="G578" s="14"/>
      <c r="H578" s="14"/>
      <c r="I578" s="14"/>
      <c r="J578" s="15">
        <f t="shared" ref="J578:J584" si="63">IF(D578="","",D578)</f>
        <v>5.0735000000000001</v>
      </c>
      <c r="K578" s="14" t="s">
        <v>375</v>
      </c>
      <c r="L578" s="14" t="s">
        <v>378</v>
      </c>
      <c r="M578" s="18" t="s">
        <v>380</v>
      </c>
      <c r="N578" s="14" t="s">
        <v>379</v>
      </c>
    </row>
    <row r="579" spans="1:14" ht="15.75">
      <c r="A579" s="4" t="s">
        <v>118</v>
      </c>
      <c r="B579" s="13">
        <v>2025</v>
      </c>
      <c r="C579" s="4" t="s">
        <v>381</v>
      </c>
      <c r="D579" s="15">
        <f>IF('Dados brutos atualizados'!E662="","",'Dados brutos atualizados'!E662)</f>
        <v>5.6226149999999997</v>
      </c>
      <c r="E579" s="15">
        <f>IF(D579="","",D579*'Dados brutos atualizados'!G662)</f>
        <v>5.6226149999999997</v>
      </c>
      <c r="F579" s="4"/>
      <c r="G579" s="14"/>
      <c r="H579" s="14"/>
      <c r="I579" s="14"/>
      <c r="J579" s="15">
        <f t="shared" si="63"/>
        <v>5.6226149999999997</v>
      </c>
      <c r="K579" s="14" t="s">
        <v>375</v>
      </c>
      <c r="L579" s="14" t="s">
        <v>378</v>
      </c>
      <c r="M579" s="18" t="s">
        <v>382</v>
      </c>
      <c r="N579" s="14" t="s">
        <v>379</v>
      </c>
    </row>
    <row r="580" spans="1:14" ht="15.75">
      <c r="A580" s="4" t="s">
        <v>118</v>
      </c>
      <c r="B580" s="13">
        <v>2025</v>
      </c>
      <c r="C580" s="4" t="s">
        <v>383</v>
      </c>
      <c r="D580" s="15">
        <f>IF('Dados brutos atualizados'!E663="","",'Dados brutos atualizados'!E663)</f>
        <v>0.97520799999999996</v>
      </c>
      <c r="E580" s="15">
        <f>IF(D580="","",D580*'Dados brutos atualizados'!G663)</f>
        <v>0.97520799999999996</v>
      </c>
      <c r="F580" s="4"/>
      <c r="G580" s="14"/>
      <c r="H580" s="14"/>
      <c r="I580" s="14"/>
      <c r="J580" s="15">
        <f t="shared" si="63"/>
        <v>0.97520799999999996</v>
      </c>
      <c r="K580" s="14" t="s">
        <v>384</v>
      </c>
      <c r="L580" s="14" t="s">
        <v>378</v>
      </c>
      <c r="M580" s="18" t="s">
        <v>380</v>
      </c>
      <c r="N580" s="14" t="s">
        <v>379</v>
      </c>
    </row>
    <row r="581" spans="1:14" ht="15.75">
      <c r="A581" s="4" t="s">
        <v>118</v>
      </c>
      <c r="B581" s="13">
        <v>2025</v>
      </c>
      <c r="C581" s="4" t="s">
        <v>386</v>
      </c>
      <c r="D581" s="15">
        <f>IF('Dados brutos atualizados'!E664="","",'Dados brutos atualizados'!E664)</f>
        <v>0.99679399999999996</v>
      </c>
      <c r="E581" s="15">
        <f>IF(D581="","",D581*'Dados brutos atualizados'!G664)</f>
        <v>0.99679399999999996</v>
      </c>
      <c r="F581" s="4"/>
      <c r="G581" s="14"/>
      <c r="H581" s="14"/>
      <c r="I581" s="14"/>
      <c r="J581" s="15">
        <f t="shared" si="63"/>
        <v>0.99679399999999996</v>
      </c>
      <c r="K581" s="14" t="s">
        <v>384</v>
      </c>
      <c r="L581" s="14" t="s">
        <v>378</v>
      </c>
      <c r="M581" s="18" t="s">
        <v>382</v>
      </c>
      <c r="N581" s="14" t="s">
        <v>379</v>
      </c>
    </row>
    <row r="582" spans="1:14" ht="24">
      <c r="A582" s="4" t="s">
        <v>118</v>
      </c>
      <c r="B582" s="13">
        <v>2025</v>
      </c>
      <c r="C582" s="4" t="s">
        <v>587</v>
      </c>
      <c r="D582" s="15">
        <f>IF(OR('Dados brutos atualizados'!E663="",'Dados brutos atualizados'!E661=""),"",'Dados brutos atualizados'!E663*'Dados brutos atualizados'!E661)</f>
        <v>4.9477177880000003</v>
      </c>
      <c r="E582" s="15">
        <f>IF(D582="","",D582)</f>
        <v>4.9477177880000003</v>
      </c>
      <c r="F582" s="4"/>
      <c r="G582" s="14"/>
      <c r="H582" s="14"/>
      <c r="I582" s="14"/>
      <c r="J582" s="15">
        <f t="shared" si="63"/>
        <v>4.9477177880000003</v>
      </c>
      <c r="K582" s="14" t="s">
        <v>588</v>
      </c>
      <c r="L582" s="14" t="s">
        <v>589</v>
      </c>
      <c r="M582" s="18" t="s">
        <v>380</v>
      </c>
      <c r="N582" s="14" t="s">
        <v>590</v>
      </c>
    </row>
    <row r="583" spans="1:14" ht="24">
      <c r="A583" s="4" t="s">
        <v>118</v>
      </c>
      <c r="B583" s="13">
        <v>2025</v>
      </c>
      <c r="C583" s="4" t="s">
        <v>591</v>
      </c>
      <c r="D583" s="15">
        <f>IF(OR('Dados brutos atualizados'!E664="",'Dados brutos atualizados'!E662=""),"",'Dados brutos atualizados'!E664*'Dados brutos atualizados'!E662)</f>
        <v>5.6045888963099992</v>
      </c>
      <c r="E583" s="15">
        <f>IF(D583="","",D583)</f>
        <v>5.6045888963099992</v>
      </c>
      <c r="F583" s="4"/>
      <c r="G583" s="14"/>
      <c r="H583" s="14"/>
      <c r="I583" s="14"/>
      <c r="J583" s="15">
        <f t="shared" si="63"/>
        <v>5.6045888963099992</v>
      </c>
      <c r="K583" s="14" t="s">
        <v>588</v>
      </c>
      <c r="L583" s="14" t="s">
        <v>589</v>
      </c>
      <c r="M583" s="18" t="s">
        <v>382</v>
      </c>
      <c r="N583" s="14" t="s">
        <v>590</v>
      </c>
    </row>
    <row r="584" spans="1:14" ht="15.75">
      <c r="A584" s="4" t="s">
        <v>118</v>
      </c>
      <c r="B584" s="13">
        <v>2025</v>
      </c>
      <c r="C584" s="4" t="s">
        <v>445</v>
      </c>
      <c r="D584" s="15">
        <f>IF('Dados brutos atualizados'!E665="","",'Dados brutos atualizados'!E665)</f>
        <v>305531</v>
      </c>
      <c r="E584" s="15">
        <f>IF(D584="","",D584*'Dados brutos atualizados'!G665)</f>
        <v>305531</v>
      </c>
      <c r="F584" s="4"/>
      <c r="G584" s="14"/>
      <c r="H584" s="14"/>
      <c r="I584" s="14"/>
      <c r="J584" s="15">
        <f t="shared" si="63"/>
        <v>305531</v>
      </c>
      <c r="K584" s="14" t="s">
        <v>446</v>
      </c>
      <c r="L584" s="14" t="s">
        <v>449</v>
      </c>
      <c r="M584" s="18" t="s">
        <v>540</v>
      </c>
      <c r="N584" s="14" t="s">
        <v>450</v>
      </c>
    </row>
    <row r="585" spans="1:14" ht="15.75">
      <c r="A585" s="4" t="s">
        <v>118</v>
      </c>
      <c r="B585" s="13">
        <v>2025</v>
      </c>
      <c r="C585" s="4" t="s">
        <v>452</v>
      </c>
      <c r="D585" s="15">
        <f>IF('Dados brutos atualizados'!E666="","",'Dados brutos atualizados'!E666)</f>
        <v>1048459378.9400001</v>
      </c>
      <c r="E585" s="15">
        <f>IF(D585="","",D585*'Dados brutos atualizados'!G666)</f>
        <v>1048459378.9400001</v>
      </c>
      <c r="F585" s="17">
        <f>IF(E585="","",Deflatores!E13)</f>
        <v>1</v>
      </c>
      <c r="G585" s="15">
        <f t="shared" ref="G585:G590" si="64">IF(OR(E585="",F585=""),"",E585*F585)</f>
        <v>1048459378.9400001</v>
      </c>
      <c r="H585" s="15">
        <f>IF('Dados tratados'!E584="","",'Dados tratados'!E584)</f>
        <v>305531</v>
      </c>
      <c r="I585" s="15">
        <f t="shared" ref="I585:I590" si="65">IF(OR(G585="",H585="",H585=0),"",G585/H585)</f>
        <v>3431.5973794475849</v>
      </c>
      <c r="J585" s="14"/>
      <c r="K585" s="14" t="s">
        <v>417</v>
      </c>
      <c r="L585" s="14" t="s">
        <v>135</v>
      </c>
      <c r="M585" s="18" t="s">
        <v>567</v>
      </c>
      <c r="N585" s="14" t="s">
        <v>455</v>
      </c>
    </row>
    <row r="586" spans="1:14" ht="15.75">
      <c r="A586" s="4" t="s">
        <v>118</v>
      </c>
      <c r="B586" s="13">
        <v>2025</v>
      </c>
      <c r="C586" s="4" t="s">
        <v>456</v>
      </c>
      <c r="D586" s="15">
        <f>IF('Dados brutos atualizados'!E667="","",'Dados brutos atualizados'!E667)</f>
        <v>1021221494.9400001</v>
      </c>
      <c r="E586" s="15">
        <f>IF(D586="","",D586*'Dados brutos atualizados'!G667)</f>
        <v>1021221494.9400001</v>
      </c>
      <c r="F586" s="17">
        <f>IF(E586="","",Deflatores!E13)</f>
        <v>1</v>
      </c>
      <c r="G586" s="15">
        <f t="shared" si="64"/>
        <v>1021221494.9400001</v>
      </c>
      <c r="H586" s="15">
        <f>IF('Dados tratados'!E584="","",'Dados tratados'!E584)</f>
        <v>305531</v>
      </c>
      <c r="I586" s="15">
        <f t="shared" si="65"/>
        <v>3342.44804926505</v>
      </c>
      <c r="J586" s="14"/>
      <c r="K586" s="14" t="s">
        <v>417</v>
      </c>
      <c r="L586" s="14" t="s">
        <v>135</v>
      </c>
      <c r="M586" s="18" t="s">
        <v>567</v>
      </c>
      <c r="N586" s="14" t="s">
        <v>459</v>
      </c>
    </row>
    <row r="587" spans="1:14" ht="15.75">
      <c r="A587" s="4" t="s">
        <v>118</v>
      </c>
      <c r="B587" s="13">
        <v>2025</v>
      </c>
      <c r="C587" s="4" t="s">
        <v>460</v>
      </c>
      <c r="D587" s="15">
        <f>IF('Dados brutos atualizados'!E668="","",'Dados brutos atualizados'!E668)</f>
        <v>1311416056.78</v>
      </c>
      <c r="E587" s="15">
        <f>IF(D587="","",D587*'Dados brutos atualizados'!G668)</f>
        <v>1311416056.78</v>
      </c>
      <c r="F587" s="17">
        <f>IF(E587="","",Deflatores!E13)</f>
        <v>1</v>
      </c>
      <c r="G587" s="15">
        <f t="shared" si="64"/>
        <v>1311416056.78</v>
      </c>
      <c r="H587" s="15">
        <f>IF('Dados tratados'!E584="","",'Dados tratados'!E584)</f>
        <v>305531</v>
      </c>
      <c r="I587" s="15">
        <f t="shared" si="65"/>
        <v>4292.2520358981574</v>
      </c>
      <c r="J587" s="14"/>
      <c r="K587" s="14" t="s">
        <v>417</v>
      </c>
      <c r="L587" s="14" t="s">
        <v>135</v>
      </c>
      <c r="M587" s="18" t="s">
        <v>566</v>
      </c>
      <c r="N587" s="14" t="s">
        <v>462</v>
      </c>
    </row>
    <row r="588" spans="1:14" ht="24">
      <c r="A588" s="4" t="s">
        <v>118</v>
      </c>
      <c r="B588" s="13">
        <v>2025</v>
      </c>
      <c r="C588" s="4" t="s">
        <v>592</v>
      </c>
      <c r="D588" s="15">
        <f>IF(OR('Dados tratados'!E587="",'Dados tratados'!E573=""),"",'Dados tratados'!E587-'Dados tratados'!E573)</f>
        <v>1247858015.28</v>
      </c>
      <c r="E588" s="15">
        <f>IF(D588="","",D588)</f>
        <v>1247858015.28</v>
      </c>
      <c r="F588" s="17">
        <f>IF(E588="","",Deflatores!E13)</f>
        <v>1</v>
      </c>
      <c r="G588" s="15">
        <f t="shared" si="64"/>
        <v>1247858015.28</v>
      </c>
      <c r="H588" s="15">
        <f>IF('Dados tratados'!E584="","",'Dados tratados'!E584)</f>
        <v>305531</v>
      </c>
      <c r="I588" s="15">
        <f t="shared" si="65"/>
        <v>4084.2271824462982</v>
      </c>
      <c r="J588" s="14"/>
      <c r="K588" s="14" t="s">
        <v>417</v>
      </c>
      <c r="L588" s="14" t="s">
        <v>593</v>
      </c>
      <c r="M588" s="18" t="s">
        <v>594</v>
      </c>
      <c r="N588" s="14" t="s">
        <v>595</v>
      </c>
    </row>
    <row r="589" spans="1:14" ht="36">
      <c r="A589" s="4" t="s">
        <v>118</v>
      </c>
      <c r="B589" s="13">
        <v>2025</v>
      </c>
      <c r="C589" s="4" t="s">
        <v>463</v>
      </c>
      <c r="D589" s="15">
        <f>IF('Dados brutos atualizados'!E669="","",'Dados brutos atualizados'!E669)</f>
        <v>530160493.88999999</v>
      </c>
      <c r="E589" s="15">
        <f>IF(D589="","",D589*'Dados brutos atualizados'!G669)</f>
        <v>530160493.88999999</v>
      </c>
      <c r="F589" s="17">
        <f>IF(E589="","",Deflatores!E13)</f>
        <v>1</v>
      </c>
      <c r="G589" s="15">
        <f t="shared" si="64"/>
        <v>530160493.88999999</v>
      </c>
      <c r="H589" s="15">
        <f>IF('Dados tratados'!E584="","",'Dados tratados'!E584)</f>
        <v>305531</v>
      </c>
      <c r="I589" s="15">
        <f t="shared" si="65"/>
        <v>1735.2101550742805</v>
      </c>
      <c r="J589" s="14"/>
      <c r="K589" s="14" t="s">
        <v>417</v>
      </c>
      <c r="L589" s="14" t="s">
        <v>135</v>
      </c>
      <c r="M589" s="18" t="s">
        <v>566</v>
      </c>
      <c r="N589" s="14" t="s">
        <v>466</v>
      </c>
    </row>
    <row r="590" spans="1:14" ht="36">
      <c r="A590" s="4" t="s">
        <v>118</v>
      </c>
      <c r="B590" s="13">
        <v>2025</v>
      </c>
      <c r="C590" s="4" t="s">
        <v>467</v>
      </c>
      <c r="D590" s="15">
        <f>IF('Dados brutos atualizados'!E670="","",'Dados brutos atualizados'!E670)</f>
        <v>134075846.31</v>
      </c>
      <c r="E590" s="15">
        <f>IF(D590="","",D590*'Dados brutos atualizados'!G670)</f>
        <v>134075846.31</v>
      </c>
      <c r="F590" s="17">
        <f>IF(E590="","",Deflatores!E13)</f>
        <v>1</v>
      </c>
      <c r="G590" s="15">
        <f t="shared" si="64"/>
        <v>134075846.31</v>
      </c>
      <c r="H590" s="15">
        <f>IF('Dados tratados'!E584="","",'Dados tratados'!E584)</f>
        <v>305531</v>
      </c>
      <c r="I590" s="15">
        <f t="shared" si="65"/>
        <v>438.82894472246682</v>
      </c>
      <c r="J590" s="14"/>
      <c r="K590" s="14" t="s">
        <v>417</v>
      </c>
      <c r="L590" s="14" t="s">
        <v>135</v>
      </c>
      <c r="M590" s="18" t="s">
        <v>566</v>
      </c>
      <c r="N590" s="14" t="s">
        <v>466</v>
      </c>
    </row>
    <row r="591" spans="1:14" ht="24">
      <c r="A591" s="4" t="s">
        <v>118</v>
      </c>
      <c r="B591" s="13">
        <v>2026</v>
      </c>
      <c r="C591" s="4" t="s">
        <v>445</v>
      </c>
      <c r="D591" s="15">
        <f>IF('Dados brutos atualizados'!E671="","",'Dados brutos atualizados'!E671)</f>
        <v>307928</v>
      </c>
      <c r="E591" s="15">
        <f>IF(D591="","",D591*'Dados brutos atualizados'!G671)</f>
        <v>307928</v>
      </c>
      <c r="F591" s="4"/>
      <c r="G591" s="14"/>
      <c r="H591" s="14"/>
      <c r="I591" s="14"/>
      <c r="J591" s="15">
        <f>IF(D591="","",D591)</f>
        <v>307928</v>
      </c>
      <c r="K591" s="14" t="s">
        <v>446</v>
      </c>
      <c r="L591" s="14" t="s">
        <v>535</v>
      </c>
      <c r="M591" s="18" t="s">
        <v>559</v>
      </c>
      <c r="N591" s="14" t="s">
        <v>536</v>
      </c>
    </row>
  </sheetData>
  <autoFilter ref="A1:N591"/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3" r:id="rId162"/>
    <hyperlink ref="M164" r:id="rId163"/>
    <hyperlink ref="M165" r:id="rId164"/>
    <hyperlink ref="M166" r:id="rId165"/>
    <hyperlink ref="M167" r:id="rId166"/>
    <hyperlink ref="M168" r:id="rId167"/>
    <hyperlink ref="M169" r:id="rId168"/>
    <hyperlink ref="M170" r:id="rId169"/>
    <hyperlink ref="M171" r:id="rId170"/>
    <hyperlink ref="M172" r:id="rId171"/>
    <hyperlink ref="M173" r:id="rId172"/>
    <hyperlink ref="M174" r:id="rId173"/>
    <hyperlink ref="M175" r:id="rId174"/>
    <hyperlink ref="M176" r:id="rId175"/>
    <hyperlink ref="M177" r:id="rId176"/>
    <hyperlink ref="M178" r:id="rId177"/>
    <hyperlink ref="M179" r:id="rId178"/>
    <hyperlink ref="M180" r:id="rId179"/>
    <hyperlink ref="M181" r:id="rId180"/>
    <hyperlink ref="M182" r:id="rId181"/>
    <hyperlink ref="M183" r:id="rId182"/>
    <hyperlink ref="M184" r:id="rId183"/>
    <hyperlink ref="M185" r:id="rId184"/>
    <hyperlink ref="M186" r:id="rId185"/>
    <hyperlink ref="M187" r:id="rId186"/>
    <hyperlink ref="M188" r:id="rId187"/>
    <hyperlink ref="M189" r:id="rId188"/>
    <hyperlink ref="M190" r:id="rId189"/>
    <hyperlink ref="M191" r:id="rId190"/>
    <hyperlink ref="M192" r:id="rId191"/>
    <hyperlink ref="M193" r:id="rId192"/>
    <hyperlink ref="M194" r:id="rId193"/>
    <hyperlink ref="M195" r:id="rId194"/>
    <hyperlink ref="M196" r:id="rId195"/>
    <hyperlink ref="M197" r:id="rId196"/>
    <hyperlink ref="M198" r:id="rId197"/>
    <hyperlink ref="M199" r:id="rId198"/>
    <hyperlink ref="M200" r:id="rId199"/>
    <hyperlink ref="M201" r:id="rId200"/>
    <hyperlink ref="M202" r:id="rId201"/>
    <hyperlink ref="M203" r:id="rId202"/>
    <hyperlink ref="M204" r:id="rId203"/>
    <hyperlink ref="M205" r:id="rId204"/>
    <hyperlink ref="M206" r:id="rId205"/>
    <hyperlink ref="M207" r:id="rId206"/>
    <hyperlink ref="M208" r:id="rId207"/>
    <hyperlink ref="M209" r:id="rId208"/>
    <hyperlink ref="M210" r:id="rId209"/>
    <hyperlink ref="M211" r:id="rId210"/>
    <hyperlink ref="M212" r:id="rId211"/>
    <hyperlink ref="M213" r:id="rId212"/>
    <hyperlink ref="M214" r:id="rId213"/>
    <hyperlink ref="M215" r:id="rId214"/>
    <hyperlink ref="M216" r:id="rId215"/>
    <hyperlink ref="M217" r:id="rId216"/>
    <hyperlink ref="M218" r:id="rId217"/>
    <hyperlink ref="M219" r:id="rId218"/>
    <hyperlink ref="M220" r:id="rId219"/>
    <hyperlink ref="M221" r:id="rId220"/>
    <hyperlink ref="M222" r:id="rId221"/>
    <hyperlink ref="M223" r:id="rId222"/>
    <hyperlink ref="M224" r:id="rId223"/>
    <hyperlink ref="M225" r:id="rId224"/>
    <hyperlink ref="M226" r:id="rId225"/>
    <hyperlink ref="M227" r:id="rId226"/>
    <hyperlink ref="M228" r:id="rId227"/>
    <hyperlink ref="M229" r:id="rId228"/>
    <hyperlink ref="M230" r:id="rId229"/>
    <hyperlink ref="M231" r:id="rId230"/>
    <hyperlink ref="M232" r:id="rId231"/>
    <hyperlink ref="M233" r:id="rId232"/>
    <hyperlink ref="M234" r:id="rId233"/>
    <hyperlink ref="M235" r:id="rId234"/>
    <hyperlink ref="M236" r:id="rId235"/>
    <hyperlink ref="M237" r:id="rId236"/>
    <hyperlink ref="M238" r:id="rId237"/>
    <hyperlink ref="M239" r:id="rId238"/>
    <hyperlink ref="M240" r:id="rId239"/>
    <hyperlink ref="M241" r:id="rId240"/>
    <hyperlink ref="M242" r:id="rId241"/>
    <hyperlink ref="M243" r:id="rId242"/>
    <hyperlink ref="M244" r:id="rId243"/>
    <hyperlink ref="M245" r:id="rId244"/>
    <hyperlink ref="M246" r:id="rId245"/>
    <hyperlink ref="M247" r:id="rId246"/>
    <hyperlink ref="M248" r:id="rId247"/>
    <hyperlink ref="M249" r:id="rId248"/>
    <hyperlink ref="M250" r:id="rId249"/>
    <hyperlink ref="M251" r:id="rId250"/>
    <hyperlink ref="M252" r:id="rId251"/>
    <hyperlink ref="M253" r:id="rId252"/>
    <hyperlink ref="M254" r:id="rId253"/>
    <hyperlink ref="M255" r:id="rId254"/>
    <hyperlink ref="M256" r:id="rId255"/>
    <hyperlink ref="M257" r:id="rId256"/>
    <hyperlink ref="M258" r:id="rId257"/>
    <hyperlink ref="M259" r:id="rId258"/>
    <hyperlink ref="M260" r:id="rId259"/>
    <hyperlink ref="M261" r:id="rId260"/>
    <hyperlink ref="M262" r:id="rId261"/>
    <hyperlink ref="M263" r:id="rId262"/>
    <hyperlink ref="M264" r:id="rId263"/>
    <hyperlink ref="M265" r:id="rId264"/>
    <hyperlink ref="M266" r:id="rId265"/>
    <hyperlink ref="M267" r:id="rId266"/>
    <hyperlink ref="M268" r:id="rId267"/>
    <hyperlink ref="M269" r:id="rId268"/>
    <hyperlink ref="M270" r:id="rId269"/>
    <hyperlink ref="M271" r:id="rId270"/>
    <hyperlink ref="M272" r:id="rId271"/>
    <hyperlink ref="M273" r:id="rId272"/>
    <hyperlink ref="M274" r:id="rId273"/>
    <hyperlink ref="M275" r:id="rId274"/>
    <hyperlink ref="M276" r:id="rId275"/>
    <hyperlink ref="M277" r:id="rId276"/>
    <hyperlink ref="M278" r:id="rId277"/>
    <hyperlink ref="M279" r:id="rId278"/>
    <hyperlink ref="M280" r:id="rId279"/>
    <hyperlink ref="M281" r:id="rId280"/>
    <hyperlink ref="M282" r:id="rId281"/>
    <hyperlink ref="M283" r:id="rId282"/>
    <hyperlink ref="M284" r:id="rId283"/>
    <hyperlink ref="M285" r:id="rId284"/>
    <hyperlink ref="M286" r:id="rId285"/>
    <hyperlink ref="M287" r:id="rId286"/>
    <hyperlink ref="M288" r:id="rId287"/>
    <hyperlink ref="M289" r:id="rId288"/>
    <hyperlink ref="M290" r:id="rId289"/>
    <hyperlink ref="M291" r:id="rId290"/>
    <hyperlink ref="M292" r:id="rId291"/>
    <hyperlink ref="M293" r:id="rId292"/>
    <hyperlink ref="M294" r:id="rId293"/>
    <hyperlink ref="M295" r:id="rId294"/>
    <hyperlink ref="M296" r:id="rId295"/>
    <hyperlink ref="M297" r:id="rId296"/>
    <hyperlink ref="M298" r:id="rId297"/>
    <hyperlink ref="M299" r:id="rId298"/>
    <hyperlink ref="M300" r:id="rId299"/>
    <hyperlink ref="M301" r:id="rId300"/>
    <hyperlink ref="M302" r:id="rId301"/>
    <hyperlink ref="M303" r:id="rId302"/>
    <hyperlink ref="M304" r:id="rId303"/>
    <hyperlink ref="M305" r:id="rId304"/>
    <hyperlink ref="M306" r:id="rId305"/>
    <hyperlink ref="M307" r:id="rId306"/>
    <hyperlink ref="M308" r:id="rId307"/>
    <hyperlink ref="M309" r:id="rId308"/>
    <hyperlink ref="M310" r:id="rId309"/>
    <hyperlink ref="M311" r:id="rId310"/>
    <hyperlink ref="M312" r:id="rId311"/>
    <hyperlink ref="M313" r:id="rId312"/>
    <hyperlink ref="M314" r:id="rId313"/>
    <hyperlink ref="M315" r:id="rId314"/>
    <hyperlink ref="M316" r:id="rId315"/>
    <hyperlink ref="M317" r:id="rId316"/>
    <hyperlink ref="M318" r:id="rId317"/>
    <hyperlink ref="M319" r:id="rId318"/>
    <hyperlink ref="M320" r:id="rId319"/>
    <hyperlink ref="M321" r:id="rId320"/>
    <hyperlink ref="M322" r:id="rId321"/>
    <hyperlink ref="M323" r:id="rId322"/>
    <hyperlink ref="M324" r:id="rId323"/>
    <hyperlink ref="M325" r:id="rId324"/>
    <hyperlink ref="M326" r:id="rId325"/>
    <hyperlink ref="M327" r:id="rId326"/>
    <hyperlink ref="M328" r:id="rId327"/>
    <hyperlink ref="M329" r:id="rId328"/>
    <hyperlink ref="M330" r:id="rId329"/>
    <hyperlink ref="M331" r:id="rId330"/>
    <hyperlink ref="M332" r:id="rId331"/>
    <hyperlink ref="M333" r:id="rId332"/>
    <hyperlink ref="M334" r:id="rId333"/>
    <hyperlink ref="M335" r:id="rId334"/>
    <hyperlink ref="M336" r:id="rId335"/>
    <hyperlink ref="M337" r:id="rId336"/>
    <hyperlink ref="M338" r:id="rId337"/>
    <hyperlink ref="M339" r:id="rId338"/>
    <hyperlink ref="M340" r:id="rId339"/>
    <hyperlink ref="M341" r:id="rId340"/>
    <hyperlink ref="M342" r:id="rId341"/>
    <hyperlink ref="M343" r:id="rId342"/>
    <hyperlink ref="M344" r:id="rId343"/>
    <hyperlink ref="M345" r:id="rId344"/>
    <hyperlink ref="M346" r:id="rId345"/>
    <hyperlink ref="M347" r:id="rId346"/>
    <hyperlink ref="M348" r:id="rId347"/>
    <hyperlink ref="M349" r:id="rId348"/>
    <hyperlink ref="M350" r:id="rId349"/>
    <hyperlink ref="M351" r:id="rId350"/>
    <hyperlink ref="M352" r:id="rId351"/>
    <hyperlink ref="M353" r:id="rId352"/>
    <hyperlink ref="M354" r:id="rId353"/>
    <hyperlink ref="M355" r:id="rId354"/>
    <hyperlink ref="M356" r:id="rId355"/>
    <hyperlink ref="M357" r:id="rId356"/>
    <hyperlink ref="M358" r:id="rId357"/>
    <hyperlink ref="M359" r:id="rId358"/>
    <hyperlink ref="M360" r:id="rId359"/>
    <hyperlink ref="M361" r:id="rId360"/>
    <hyperlink ref="M362" r:id="rId361"/>
    <hyperlink ref="M363" r:id="rId362"/>
    <hyperlink ref="M364" r:id="rId363"/>
    <hyperlink ref="M365" r:id="rId364"/>
    <hyperlink ref="M366" r:id="rId365"/>
    <hyperlink ref="M367" r:id="rId366"/>
    <hyperlink ref="M368" r:id="rId367"/>
    <hyperlink ref="M369" r:id="rId368"/>
    <hyperlink ref="M370" r:id="rId369"/>
    <hyperlink ref="M371" r:id="rId370"/>
    <hyperlink ref="M372" r:id="rId371"/>
    <hyperlink ref="M373" r:id="rId372"/>
    <hyperlink ref="M374" r:id="rId373"/>
    <hyperlink ref="M375" r:id="rId374"/>
    <hyperlink ref="M376" r:id="rId375"/>
    <hyperlink ref="M377" r:id="rId376"/>
    <hyperlink ref="M378" r:id="rId377"/>
    <hyperlink ref="M379" r:id="rId378"/>
    <hyperlink ref="M380" r:id="rId379"/>
    <hyperlink ref="M381" r:id="rId380"/>
    <hyperlink ref="M382" r:id="rId381"/>
    <hyperlink ref="M383" r:id="rId382"/>
    <hyperlink ref="M384" r:id="rId383"/>
    <hyperlink ref="M385" r:id="rId384"/>
    <hyperlink ref="M386" r:id="rId385"/>
    <hyperlink ref="M387" r:id="rId386"/>
    <hyperlink ref="M388" r:id="rId387"/>
    <hyperlink ref="M389" r:id="rId388"/>
    <hyperlink ref="M390" r:id="rId389"/>
    <hyperlink ref="M391" r:id="rId390"/>
    <hyperlink ref="M392" r:id="rId391"/>
    <hyperlink ref="M393" r:id="rId392"/>
    <hyperlink ref="M394" r:id="rId393"/>
    <hyperlink ref="M395" r:id="rId394"/>
    <hyperlink ref="M396" r:id="rId395"/>
    <hyperlink ref="M397" r:id="rId396"/>
    <hyperlink ref="M398" r:id="rId397"/>
    <hyperlink ref="M399" r:id="rId398"/>
    <hyperlink ref="M400" r:id="rId399"/>
    <hyperlink ref="M401" r:id="rId400"/>
    <hyperlink ref="M402" r:id="rId401"/>
    <hyperlink ref="M403" r:id="rId402"/>
    <hyperlink ref="M404" r:id="rId403"/>
    <hyperlink ref="M405" r:id="rId404"/>
    <hyperlink ref="M406" r:id="rId405"/>
    <hyperlink ref="M407" r:id="rId406"/>
    <hyperlink ref="M408" r:id="rId407"/>
    <hyperlink ref="M409" r:id="rId408"/>
    <hyperlink ref="M410" r:id="rId409"/>
    <hyperlink ref="M411" r:id="rId410"/>
    <hyperlink ref="M412" r:id="rId411"/>
    <hyperlink ref="M413" r:id="rId412"/>
    <hyperlink ref="M414" r:id="rId413"/>
    <hyperlink ref="M415" r:id="rId414"/>
    <hyperlink ref="M416" r:id="rId415"/>
    <hyperlink ref="M417" r:id="rId416"/>
    <hyperlink ref="M418" r:id="rId417"/>
    <hyperlink ref="M419" r:id="rId418"/>
    <hyperlink ref="M420" r:id="rId419"/>
    <hyperlink ref="M421" r:id="rId420"/>
    <hyperlink ref="M422" r:id="rId421"/>
    <hyperlink ref="M423" r:id="rId422"/>
    <hyperlink ref="M424" r:id="rId423"/>
    <hyperlink ref="M425" r:id="rId424"/>
    <hyperlink ref="M426" r:id="rId425"/>
    <hyperlink ref="M427" r:id="rId426"/>
    <hyperlink ref="M428" r:id="rId427"/>
    <hyperlink ref="M429" r:id="rId428"/>
    <hyperlink ref="M430" r:id="rId429"/>
    <hyperlink ref="M431" r:id="rId430"/>
    <hyperlink ref="M432" r:id="rId431"/>
    <hyperlink ref="M433" r:id="rId432"/>
    <hyperlink ref="M434" r:id="rId433"/>
    <hyperlink ref="M435" r:id="rId434"/>
    <hyperlink ref="M436" r:id="rId435"/>
    <hyperlink ref="M437" r:id="rId436"/>
    <hyperlink ref="M438" r:id="rId437"/>
    <hyperlink ref="M439" r:id="rId438"/>
    <hyperlink ref="M440" r:id="rId439"/>
    <hyperlink ref="M441" r:id="rId440"/>
    <hyperlink ref="M442" r:id="rId441"/>
    <hyperlink ref="M443" r:id="rId442"/>
    <hyperlink ref="M444" r:id="rId443"/>
    <hyperlink ref="M445" r:id="rId444"/>
    <hyperlink ref="M446" r:id="rId445"/>
    <hyperlink ref="M447" r:id="rId446"/>
    <hyperlink ref="M448" r:id="rId447"/>
    <hyperlink ref="M449" r:id="rId448"/>
    <hyperlink ref="M450" r:id="rId449"/>
    <hyperlink ref="M451" r:id="rId450"/>
    <hyperlink ref="M452" r:id="rId451"/>
    <hyperlink ref="M453" r:id="rId452"/>
    <hyperlink ref="M454" r:id="rId453"/>
    <hyperlink ref="M455" r:id="rId454"/>
    <hyperlink ref="M456" r:id="rId455"/>
    <hyperlink ref="M457" r:id="rId456"/>
    <hyperlink ref="M458" r:id="rId457"/>
    <hyperlink ref="M459" r:id="rId458"/>
    <hyperlink ref="M460" r:id="rId459"/>
    <hyperlink ref="M461" r:id="rId460"/>
    <hyperlink ref="M462" r:id="rId461"/>
    <hyperlink ref="M463" r:id="rId462"/>
    <hyperlink ref="M464" r:id="rId463"/>
    <hyperlink ref="M465" r:id="rId464"/>
    <hyperlink ref="M466" r:id="rId465"/>
    <hyperlink ref="M467" r:id="rId466"/>
    <hyperlink ref="M468" r:id="rId467"/>
    <hyperlink ref="M469" r:id="rId468"/>
    <hyperlink ref="M470" r:id="rId469"/>
    <hyperlink ref="M471" r:id="rId470"/>
    <hyperlink ref="M472" r:id="rId471"/>
    <hyperlink ref="M473" r:id="rId472"/>
    <hyperlink ref="M474" r:id="rId473"/>
    <hyperlink ref="M475" r:id="rId474"/>
    <hyperlink ref="M476" r:id="rId475"/>
    <hyperlink ref="M477" r:id="rId476"/>
    <hyperlink ref="M478" r:id="rId477"/>
    <hyperlink ref="M479" r:id="rId478"/>
    <hyperlink ref="M480" r:id="rId479"/>
    <hyperlink ref="M481" r:id="rId480"/>
    <hyperlink ref="M482" r:id="rId481"/>
    <hyperlink ref="M483" r:id="rId482"/>
    <hyperlink ref="M484" r:id="rId483"/>
    <hyperlink ref="M485" r:id="rId484"/>
    <hyperlink ref="M486" r:id="rId485"/>
    <hyperlink ref="M487" r:id="rId486"/>
    <hyperlink ref="M488" r:id="rId487"/>
    <hyperlink ref="M489" r:id="rId488"/>
    <hyperlink ref="M490" r:id="rId489"/>
    <hyperlink ref="M491" r:id="rId490"/>
    <hyperlink ref="M492" r:id="rId491"/>
    <hyperlink ref="M493" r:id="rId492"/>
    <hyperlink ref="M494" r:id="rId493"/>
    <hyperlink ref="M495" r:id="rId494"/>
    <hyperlink ref="M496" r:id="rId495"/>
    <hyperlink ref="M497" r:id="rId496"/>
    <hyperlink ref="M498" r:id="rId497"/>
    <hyperlink ref="M499" r:id="rId498"/>
    <hyperlink ref="M500" r:id="rId499"/>
    <hyperlink ref="M501" r:id="rId500"/>
    <hyperlink ref="M502" r:id="rId501"/>
    <hyperlink ref="M503" r:id="rId502"/>
    <hyperlink ref="M504" r:id="rId503"/>
    <hyperlink ref="M505" r:id="rId504"/>
    <hyperlink ref="M506" r:id="rId505"/>
    <hyperlink ref="M507" r:id="rId506"/>
    <hyperlink ref="M508" r:id="rId507"/>
    <hyperlink ref="M509" r:id="rId508"/>
    <hyperlink ref="M510" r:id="rId509"/>
    <hyperlink ref="M511" r:id="rId510"/>
    <hyperlink ref="M512" r:id="rId511"/>
    <hyperlink ref="M513" r:id="rId512"/>
    <hyperlink ref="M514" r:id="rId513"/>
    <hyperlink ref="M515" r:id="rId514"/>
    <hyperlink ref="M516" r:id="rId515"/>
    <hyperlink ref="M517" r:id="rId516"/>
    <hyperlink ref="M518" r:id="rId517"/>
    <hyperlink ref="M519" r:id="rId518"/>
    <hyperlink ref="M520" r:id="rId519"/>
    <hyperlink ref="M521" r:id="rId520"/>
    <hyperlink ref="M522" r:id="rId521"/>
    <hyperlink ref="M523" r:id="rId522"/>
    <hyperlink ref="M524" r:id="rId523"/>
    <hyperlink ref="M525" r:id="rId524"/>
    <hyperlink ref="M526" r:id="rId525"/>
    <hyperlink ref="M527" r:id="rId526"/>
    <hyperlink ref="M528" r:id="rId527"/>
    <hyperlink ref="M529" r:id="rId528"/>
    <hyperlink ref="M530" r:id="rId529"/>
    <hyperlink ref="M531" r:id="rId530"/>
    <hyperlink ref="M532" r:id="rId531"/>
    <hyperlink ref="M533" r:id="rId532"/>
    <hyperlink ref="M534" r:id="rId533"/>
    <hyperlink ref="M535" r:id="rId534"/>
    <hyperlink ref="M536" r:id="rId535"/>
    <hyperlink ref="M537" r:id="rId536"/>
    <hyperlink ref="M538" r:id="rId537"/>
    <hyperlink ref="M539" r:id="rId538"/>
    <hyperlink ref="M540" r:id="rId539"/>
    <hyperlink ref="M541" r:id="rId540"/>
    <hyperlink ref="M542" r:id="rId541"/>
    <hyperlink ref="M543" r:id="rId542"/>
    <hyperlink ref="M544" r:id="rId543"/>
    <hyperlink ref="M545" r:id="rId544"/>
    <hyperlink ref="M546" r:id="rId545"/>
    <hyperlink ref="M547" r:id="rId546"/>
    <hyperlink ref="M548" r:id="rId547"/>
    <hyperlink ref="M549" r:id="rId548"/>
    <hyperlink ref="M550" r:id="rId549"/>
    <hyperlink ref="M551" r:id="rId550"/>
    <hyperlink ref="M552" r:id="rId551"/>
    <hyperlink ref="M553" r:id="rId552"/>
    <hyperlink ref="M554" r:id="rId553"/>
    <hyperlink ref="M555" r:id="rId554"/>
    <hyperlink ref="M556" r:id="rId555"/>
    <hyperlink ref="M557" r:id="rId556"/>
    <hyperlink ref="M558" r:id="rId557"/>
    <hyperlink ref="M559" r:id="rId558"/>
    <hyperlink ref="M560" r:id="rId559"/>
    <hyperlink ref="M561" r:id="rId560"/>
    <hyperlink ref="M562" r:id="rId561"/>
    <hyperlink ref="M563" r:id="rId562"/>
    <hyperlink ref="M564" r:id="rId563"/>
    <hyperlink ref="M565" r:id="rId564"/>
    <hyperlink ref="M566" r:id="rId565"/>
    <hyperlink ref="M567" r:id="rId566"/>
    <hyperlink ref="M568" r:id="rId567"/>
    <hyperlink ref="M569" r:id="rId568"/>
    <hyperlink ref="M570" r:id="rId569"/>
    <hyperlink ref="M571" r:id="rId570"/>
    <hyperlink ref="M572" r:id="rId571"/>
    <hyperlink ref="M573" r:id="rId572"/>
    <hyperlink ref="M574" r:id="rId573"/>
    <hyperlink ref="M575" r:id="rId574"/>
    <hyperlink ref="M576" r:id="rId575"/>
    <hyperlink ref="M577" r:id="rId576"/>
    <hyperlink ref="M578" r:id="rId577"/>
    <hyperlink ref="M579" r:id="rId578"/>
    <hyperlink ref="M580" r:id="rId579"/>
    <hyperlink ref="M581" r:id="rId580"/>
    <hyperlink ref="M582" r:id="rId581"/>
    <hyperlink ref="M583" r:id="rId582"/>
    <hyperlink ref="M584" r:id="rId583"/>
    <hyperlink ref="M585" r:id="rId584"/>
    <hyperlink ref="M586" r:id="rId585"/>
    <hyperlink ref="M587" r:id="rId586"/>
    <hyperlink ref="M588" r:id="rId587"/>
    <hyperlink ref="M589" r:id="rId588"/>
    <hyperlink ref="M590" r:id="rId589"/>
    <hyperlink ref="M591" r:id="rId590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2.75"/>
  <cols>
    <col min="1" max="1" width="22" customWidth="1"/>
    <col min="2" max="2" width="12" customWidth="1"/>
    <col min="3" max="3" width="22" customWidth="1"/>
    <col min="4" max="4" width="12" customWidth="1"/>
    <col min="5" max="6" width="42" customWidth="1"/>
    <col min="7" max="7" width="35" customWidth="1"/>
    <col min="8" max="8" width="29" customWidth="1"/>
    <col min="9" max="10" width="48" customWidth="1"/>
  </cols>
  <sheetData>
    <row r="1" spans="1:10" ht="33.75" customHeight="1">
      <c r="A1" s="3" t="s">
        <v>596</v>
      </c>
      <c r="B1" s="3" t="s">
        <v>1</v>
      </c>
      <c r="C1" s="3" t="s">
        <v>597</v>
      </c>
      <c r="D1" s="3" t="s">
        <v>598</v>
      </c>
      <c r="E1" s="3" t="s">
        <v>599</v>
      </c>
      <c r="F1" s="3" t="s">
        <v>600</v>
      </c>
      <c r="G1" s="3" t="s">
        <v>601</v>
      </c>
      <c r="H1" s="3" t="s">
        <v>602</v>
      </c>
      <c r="I1" s="3" t="s">
        <v>603</v>
      </c>
      <c r="J1" s="3" t="s">
        <v>604</v>
      </c>
    </row>
    <row r="2" spans="1:10" ht="15.75">
      <c r="A2" s="4" t="s">
        <v>117</v>
      </c>
      <c r="B2" s="4">
        <v>2005</v>
      </c>
      <c r="C2" s="4" t="s">
        <v>605</v>
      </c>
      <c r="D2" s="4" t="s">
        <v>606</v>
      </c>
      <c r="E2" s="4">
        <f>IF('Dados brutos atualizados'!E268="","",'Dados brutos atualizados'!E268)</f>
        <v>0.61120699999999994</v>
      </c>
      <c r="F2" s="4">
        <f>IF('Dados brutos atualizados'!E266="","",'Dados brutos atualizados'!E266)</f>
        <v>4.1219999999999999</v>
      </c>
      <c r="G2" s="4">
        <f t="shared" ref="G2:G45" si="0">IF(OR(E2="",F2=""),"",E2*F2)</f>
        <v>2.5193952539999995</v>
      </c>
      <c r="H2" s="4">
        <f t="shared" ref="H2:H45" si="1">IF(G2="","",ROUND(G2,1))</f>
        <v>2.5</v>
      </c>
      <c r="I2" s="16" t="s">
        <v>380</v>
      </c>
      <c r="J2" s="4" t="s">
        <v>607</v>
      </c>
    </row>
    <row r="3" spans="1:10" ht="15.75">
      <c r="A3" s="4" t="s">
        <v>117</v>
      </c>
      <c r="B3" s="4">
        <v>2005</v>
      </c>
      <c r="C3" s="4" t="s">
        <v>608</v>
      </c>
      <c r="D3" s="4" t="s">
        <v>606</v>
      </c>
      <c r="E3" s="4">
        <f>IF('Dados brutos atualizados'!E269="","",'Dados brutos atualizados'!E269)</f>
        <v>0.76417599999999997</v>
      </c>
      <c r="F3" s="4">
        <f>IF('Dados brutos atualizados'!E267="","",'Dados brutos atualizados'!E267)</f>
        <v>4.2191720000000004</v>
      </c>
      <c r="G3" s="4">
        <f t="shared" si="0"/>
        <v>3.2241899822720002</v>
      </c>
      <c r="H3" s="4">
        <f t="shared" si="1"/>
        <v>3.2</v>
      </c>
      <c r="I3" s="16" t="s">
        <v>382</v>
      </c>
      <c r="J3" s="4" t="s">
        <v>607</v>
      </c>
    </row>
    <row r="4" spans="1:10" ht="15.75">
      <c r="A4" s="4" t="s">
        <v>117</v>
      </c>
      <c r="B4" s="4">
        <v>2007</v>
      </c>
      <c r="C4" s="4" t="s">
        <v>605</v>
      </c>
      <c r="D4" s="4" t="s">
        <v>606</v>
      </c>
      <c r="E4" s="4">
        <f>IF('Dados brutos atualizados'!E272="","",'Dados brutos atualizados'!E272)</f>
        <v>0.63752200000000003</v>
      </c>
      <c r="F4" s="4">
        <f>IF('Dados brutos atualizados'!E270="","",'Dados brutos atualizados'!E270)</f>
        <v>4.1775000000000002</v>
      </c>
      <c r="G4" s="4">
        <f t="shared" si="0"/>
        <v>2.6632481550000002</v>
      </c>
      <c r="H4" s="4">
        <f t="shared" si="1"/>
        <v>2.7</v>
      </c>
      <c r="I4" s="16" t="s">
        <v>380</v>
      </c>
      <c r="J4" s="4" t="s">
        <v>607</v>
      </c>
    </row>
    <row r="5" spans="1:10" ht="15.75">
      <c r="A5" s="4" t="s">
        <v>117</v>
      </c>
      <c r="B5" s="4">
        <v>2007</v>
      </c>
      <c r="C5" s="4" t="s">
        <v>608</v>
      </c>
      <c r="D5" s="4" t="s">
        <v>606</v>
      </c>
      <c r="E5" s="4">
        <f>IF('Dados brutos atualizados'!E273="","",'Dados brutos atualizados'!E273)</f>
        <v>0.78368199999999999</v>
      </c>
      <c r="F5" s="4">
        <f>IF('Dados brutos atualizados'!E271="","",'Dados brutos atualizados'!E271)</f>
        <v>4.3879380000000001</v>
      </c>
      <c r="G5" s="4">
        <f t="shared" si="0"/>
        <v>3.4387480277160001</v>
      </c>
      <c r="H5" s="4">
        <f t="shared" si="1"/>
        <v>3.4</v>
      </c>
      <c r="I5" s="16" t="s">
        <v>382</v>
      </c>
      <c r="J5" s="4" t="s">
        <v>607</v>
      </c>
    </row>
    <row r="6" spans="1:10" ht="15.75">
      <c r="A6" s="4" t="s">
        <v>117</v>
      </c>
      <c r="B6" s="4">
        <v>2009</v>
      </c>
      <c r="C6" s="4" t="s">
        <v>605</v>
      </c>
      <c r="D6" s="4" t="s">
        <v>606</v>
      </c>
      <c r="E6" s="4">
        <f>IF('Dados brutos atualizados'!E276="","",'Dados brutos atualizados'!E276)</f>
        <v>0.73947600000000002</v>
      </c>
      <c r="F6" s="4">
        <f>IF('Dados brutos atualizados'!E274="","",'Dados brutos atualizados'!E274)</f>
        <v>4.4424999999999999</v>
      </c>
      <c r="G6" s="4">
        <f t="shared" si="0"/>
        <v>3.28512213</v>
      </c>
      <c r="H6" s="4">
        <f t="shared" si="1"/>
        <v>3.3</v>
      </c>
      <c r="I6" s="16" t="s">
        <v>380</v>
      </c>
      <c r="J6" s="4" t="s">
        <v>607</v>
      </c>
    </row>
    <row r="7" spans="1:10" ht="15.75">
      <c r="A7" s="4" t="s">
        <v>117</v>
      </c>
      <c r="B7" s="4">
        <v>2009</v>
      </c>
      <c r="C7" s="4" t="s">
        <v>608</v>
      </c>
      <c r="D7" s="4" t="s">
        <v>606</v>
      </c>
      <c r="E7" s="4">
        <f>IF('Dados brutos atualizados'!E277="","",'Dados brutos atualizados'!E277)</f>
        <v>0.81912700000000005</v>
      </c>
      <c r="F7" s="4">
        <f>IF('Dados brutos atualizados'!E275="","",'Dados brutos atualizados'!E275)</f>
        <v>4.7157450000000001</v>
      </c>
      <c r="G7" s="4">
        <f t="shared" si="0"/>
        <v>3.8627940546150001</v>
      </c>
      <c r="H7" s="4">
        <f t="shared" si="1"/>
        <v>3.9</v>
      </c>
      <c r="I7" s="16" t="s">
        <v>382</v>
      </c>
      <c r="J7" s="4" t="s">
        <v>607</v>
      </c>
    </row>
    <row r="8" spans="1:10" ht="15.75">
      <c r="A8" s="4" t="s">
        <v>117</v>
      </c>
      <c r="B8" s="4">
        <v>2011</v>
      </c>
      <c r="C8" s="4" t="s">
        <v>605</v>
      </c>
      <c r="D8" s="4" t="s">
        <v>606</v>
      </c>
      <c r="E8" s="4">
        <f>IF('Dados brutos atualizados'!E282="","",'Dados brutos atualizados'!E282)</f>
        <v>0.75220500000000001</v>
      </c>
      <c r="F8" s="4">
        <f>IF('Dados brutos atualizados'!E280="","",'Dados brutos atualizados'!E280)</f>
        <v>4.6494999999999997</v>
      </c>
      <c r="G8" s="4">
        <f t="shared" si="0"/>
        <v>3.4973771474999999</v>
      </c>
      <c r="H8" s="4">
        <f t="shared" si="1"/>
        <v>3.5</v>
      </c>
      <c r="I8" s="16" t="s">
        <v>380</v>
      </c>
      <c r="J8" s="4" t="s">
        <v>607</v>
      </c>
    </row>
    <row r="9" spans="1:10" ht="15.75">
      <c r="A9" s="4" t="s">
        <v>117</v>
      </c>
      <c r="B9" s="4">
        <v>2011</v>
      </c>
      <c r="C9" s="4" t="s">
        <v>608</v>
      </c>
      <c r="D9" s="4" t="s">
        <v>606</v>
      </c>
      <c r="E9" s="4">
        <f>IF('Dados brutos atualizados'!E283="","",'Dados brutos atualizados'!E283)</f>
        <v>0.84144099999999999</v>
      </c>
      <c r="F9" s="4">
        <f>IF('Dados brutos atualizados'!E281="","",'Dados brutos atualizados'!E281)</f>
        <v>5.0149629999999998</v>
      </c>
      <c r="G9" s="4">
        <f t="shared" si="0"/>
        <v>4.2197954816829997</v>
      </c>
      <c r="H9" s="4">
        <f t="shared" si="1"/>
        <v>4.2</v>
      </c>
      <c r="I9" s="16" t="s">
        <v>382</v>
      </c>
      <c r="J9" s="4" t="s">
        <v>607</v>
      </c>
    </row>
    <row r="10" spans="1:10" ht="15.75">
      <c r="A10" s="4" t="s">
        <v>117</v>
      </c>
      <c r="B10" s="4">
        <v>2013</v>
      </c>
      <c r="C10" s="4" t="s">
        <v>605</v>
      </c>
      <c r="D10" s="4" t="s">
        <v>606</v>
      </c>
      <c r="E10" s="4">
        <f>IF('Dados brutos atualizados'!E290="","",'Dados brutos atualizados'!E290)</f>
        <v>0.797956</v>
      </c>
      <c r="F10" s="4">
        <f>IF('Dados brutos atualizados'!E288="","",'Dados brutos atualizados'!E288)</f>
        <v>4.7688329999999999</v>
      </c>
      <c r="G10" s="4">
        <f t="shared" si="0"/>
        <v>3.8053189053479999</v>
      </c>
      <c r="H10" s="4">
        <f t="shared" si="1"/>
        <v>3.8</v>
      </c>
      <c r="I10" s="16" t="s">
        <v>380</v>
      </c>
      <c r="J10" s="4" t="s">
        <v>607</v>
      </c>
    </row>
    <row r="11" spans="1:10" ht="15.75">
      <c r="A11" s="4" t="s">
        <v>117</v>
      </c>
      <c r="B11" s="4">
        <v>2013</v>
      </c>
      <c r="C11" s="4" t="s">
        <v>608</v>
      </c>
      <c r="D11" s="4" t="s">
        <v>606</v>
      </c>
      <c r="E11" s="4">
        <f>IF('Dados brutos atualizados'!E291="","",'Dados brutos atualizados'!E291)</f>
        <v>0.91879299999999997</v>
      </c>
      <c r="F11" s="4">
        <f>IF('Dados brutos atualizados'!E289="","",'Dados brutos atualizados'!E289)</f>
        <v>5.0492900000000001</v>
      </c>
      <c r="G11" s="4">
        <f t="shared" si="0"/>
        <v>4.6392523069699996</v>
      </c>
      <c r="H11" s="4">
        <f t="shared" si="1"/>
        <v>4.5999999999999996</v>
      </c>
      <c r="I11" s="16" t="s">
        <v>382</v>
      </c>
      <c r="J11" s="4" t="s">
        <v>607</v>
      </c>
    </row>
    <row r="12" spans="1:10" ht="15.75">
      <c r="A12" s="4" t="s">
        <v>117</v>
      </c>
      <c r="B12" s="4">
        <v>2015</v>
      </c>
      <c r="C12" s="4" t="s">
        <v>605</v>
      </c>
      <c r="D12" s="4" t="s">
        <v>606</v>
      </c>
      <c r="E12" s="4">
        <f>IF('Dados brutos atualizados'!E298="","",'Dados brutos atualizados'!E298)</f>
        <v>0.84436299999999997</v>
      </c>
      <c r="F12" s="4">
        <f>IF('Dados brutos atualizados'!E296="","",'Dados brutos atualizados'!E296)</f>
        <v>5.1741669999999997</v>
      </c>
      <c r="G12" s="4">
        <f t="shared" si="0"/>
        <v>4.3688751706210001</v>
      </c>
      <c r="H12" s="4">
        <f t="shared" si="1"/>
        <v>4.4000000000000004</v>
      </c>
      <c r="I12" s="16" t="s">
        <v>380</v>
      </c>
      <c r="J12" s="4" t="s">
        <v>607</v>
      </c>
    </row>
    <row r="13" spans="1:10" ht="15.75">
      <c r="A13" s="4" t="s">
        <v>117</v>
      </c>
      <c r="B13" s="4">
        <v>2015</v>
      </c>
      <c r="C13" s="4" t="s">
        <v>608</v>
      </c>
      <c r="D13" s="4" t="s">
        <v>606</v>
      </c>
      <c r="E13" s="4">
        <f>IF('Dados brutos atualizados'!E299="","",'Dados brutos atualizados'!E299)</f>
        <v>0.930844</v>
      </c>
      <c r="F13" s="4">
        <f>IF('Dados brutos atualizados'!E297="","",'Dados brutos atualizados'!E297)</f>
        <v>5.7749360000000003</v>
      </c>
      <c r="G13" s="4">
        <f t="shared" si="0"/>
        <v>5.3755645259840001</v>
      </c>
      <c r="H13" s="4">
        <f t="shared" si="1"/>
        <v>5.4</v>
      </c>
      <c r="I13" s="16" t="s">
        <v>382</v>
      </c>
      <c r="J13" s="4" t="s">
        <v>607</v>
      </c>
    </row>
    <row r="14" spans="1:10" ht="15.75">
      <c r="A14" s="4" t="s">
        <v>117</v>
      </c>
      <c r="B14" s="4">
        <v>2017</v>
      </c>
      <c r="C14" s="4" t="s">
        <v>605</v>
      </c>
      <c r="D14" s="4" t="s">
        <v>606</v>
      </c>
      <c r="E14" s="4">
        <f>IF('Dados brutos atualizados'!E326="","",'Dados brutos atualizados'!E326)</f>
        <v>0.91990700000000003</v>
      </c>
      <c r="F14" s="4">
        <f>IF('Dados brutos atualizados'!E324="","",'Dados brutos atualizados'!E324)</f>
        <v>5.3360000000000003</v>
      </c>
      <c r="G14" s="4">
        <f t="shared" si="0"/>
        <v>4.9086237520000005</v>
      </c>
      <c r="H14" s="4">
        <f t="shared" si="1"/>
        <v>4.9000000000000004</v>
      </c>
      <c r="I14" s="16" t="s">
        <v>380</v>
      </c>
      <c r="J14" s="4" t="s">
        <v>607</v>
      </c>
    </row>
    <row r="15" spans="1:10" ht="15.75">
      <c r="A15" s="4" t="s">
        <v>117</v>
      </c>
      <c r="B15" s="4">
        <v>2017</v>
      </c>
      <c r="C15" s="4" t="s">
        <v>608</v>
      </c>
      <c r="D15" s="4" t="s">
        <v>606</v>
      </c>
      <c r="E15" s="4">
        <f>IF('Dados brutos atualizados'!E327="","",'Dados brutos atualizados'!E327)</f>
        <v>0.965418</v>
      </c>
      <c r="F15" s="4">
        <f>IF('Dados brutos atualizados'!E325="","",'Dados brutos atualizados'!E325)</f>
        <v>6.174518</v>
      </c>
      <c r="G15" s="4">
        <f t="shared" si="0"/>
        <v>5.9609908185240004</v>
      </c>
      <c r="H15" s="4">
        <f t="shared" si="1"/>
        <v>6</v>
      </c>
      <c r="I15" s="16" t="s">
        <v>382</v>
      </c>
      <c r="J15" s="4" t="s">
        <v>607</v>
      </c>
    </row>
    <row r="16" spans="1:10" ht="15.75">
      <c r="A16" s="4" t="s">
        <v>117</v>
      </c>
      <c r="B16" s="4">
        <v>2019</v>
      </c>
      <c r="C16" s="4" t="s">
        <v>605</v>
      </c>
      <c r="D16" s="4" t="s">
        <v>606</v>
      </c>
      <c r="E16" s="4">
        <f>IF('Dados brutos atualizados'!E360="","",'Dados brutos atualizados'!E360)</f>
        <v>0.97031199999999995</v>
      </c>
      <c r="F16" s="4">
        <f>IF('Dados brutos atualizados'!E358="","",'Dados brutos atualizados'!E358)</f>
        <v>5.3654999999999999</v>
      </c>
      <c r="G16" s="4">
        <f t="shared" si="0"/>
        <v>5.2062090359999997</v>
      </c>
      <c r="H16" s="4">
        <f t="shared" si="1"/>
        <v>5.2</v>
      </c>
      <c r="I16" s="16" t="s">
        <v>380</v>
      </c>
      <c r="J16" s="4" t="s">
        <v>607</v>
      </c>
    </row>
    <row r="17" spans="1:10" ht="15.75">
      <c r="A17" s="4" t="s">
        <v>117</v>
      </c>
      <c r="B17" s="4">
        <v>2019</v>
      </c>
      <c r="C17" s="4" t="s">
        <v>608</v>
      </c>
      <c r="D17" s="4" t="s">
        <v>606</v>
      </c>
      <c r="E17" s="4">
        <f>IF('Dados brutos atualizados'!E361="","",'Dados brutos atualizados'!E361)</f>
        <v>0.99173599999999995</v>
      </c>
      <c r="F17" s="4">
        <f>IF('Dados brutos atualizados'!E359="","",'Dados brutos atualizados'!E359)</f>
        <v>6.2376250000000004</v>
      </c>
      <c r="G17" s="4">
        <f t="shared" si="0"/>
        <v>6.1860772669999999</v>
      </c>
      <c r="H17" s="4">
        <f t="shared" si="1"/>
        <v>6.2</v>
      </c>
      <c r="I17" s="16" t="s">
        <v>382</v>
      </c>
      <c r="J17" s="4" t="s">
        <v>607</v>
      </c>
    </row>
    <row r="18" spans="1:10" ht="15.75">
      <c r="A18" s="4" t="s">
        <v>117</v>
      </c>
      <c r="B18" s="4">
        <v>2021</v>
      </c>
      <c r="C18" s="4" t="s">
        <v>605</v>
      </c>
      <c r="D18" s="4" t="s">
        <v>606</v>
      </c>
      <c r="E18" s="4">
        <f>IF('Dados brutos atualizados'!E394="","",'Dados brutos atualizados'!E394)</f>
        <v>0.99824999999999997</v>
      </c>
      <c r="F18" s="4">
        <f>IF('Dados brutos atualizados'!E392="","",'Dados brutos atualizados'!E392)</f>
        <v>5.2096669999999996</v>
      </c>
      <c r="G18" s="4">
        <f t="shared" si="0"/>
        <v>5.2005500827499995</v>
      </c>
      <c r="H18" s="4">
        <f t="shared" si="1"/>
        <v>5.2</v>
      </c>
      <c r="I18" s="16" t="s">
        <v>380</v>
      </c>
      <c r="J18" s="4" t="s">
        <v>607</v>
      </c>
    </row>
    <row r="19" spans="1:10" ht="15.75">
      <c r="A19" s="4" t="s">
        <v>117</v>
      </c>
      <c r="B19" s="4">
        <v>2021</v>
      </c>
      <c r="C19" s="4" t="s">
        <v>608</v>
      </c>
      <c r="D19" s="4" t="s">
        <v>606</v>
      </c>
      <c r="E19" s="4">
        <f>IF('Dados brutos atualizados'!E395="","",'Dados brutos atualizados'!E395)</f>
        <v>0.99919999999999998</v>
      </c>
      <c r="F19" s="4">
        <f>IF('Dados brutos atualizados'!E393="","",'Dados brutos atualizados'!E393)</f>
        <v>5.8495140000000001</v>
      </c>
      <c r="G19" s="4">
        <f t="shared" si="0"/>
        <v>5.8448343887999998</v>
      </c>
      <c r="H19" s="4">
        <f t="shared" si="1"/>
        <v>5.8</v>
      </c>
      <c r="I19" s="16" t="s">
        <v>382</v>
      </c>
      <c r="J19" s="4" t="s">
        <v>607</v>
      </c>
    </row>
    <row r="20" spans="1:10" ht="15.75">
      <c r="A20" s="4" t="s">
        <v>117</v>
      </c>
      <c r="B20" s="4">
        <v>2023</v>
      </c>
      <c r="C20" s="4" t="s">
        <v>605</v>
      </c>
      <c r="D20" s="4" t="s">
        <v>606</v>
      </c>
      <c r="E20" s="4">
        <f>IF('Dados brutos atualizados'!E428="","",'Dados brutos atualizados'!E428)</f>
        <v>0.98948499999999995</v>
      </c>
      <c r="F20" s="4">
        <f>IF('Dados brutos atualizados'!E426="","",'Dados brutos atualizados'!E426)</f>
        <v>5.2053330000000004</v>
      </c>
      <c r="G20" s="4">
        <f t="shared" si="0"/>
        <v>5.150598923505</v>
      </c>
      <c r="H20" s="4">
        <f t="shared" si="1"/>
        <v>5.2</v>
      </c>
      <c r="I20" s="16" t="s">
        <v>380</v>
      </c>
      <c r="J20" s="4" t="s">
        <v>607</v>
      </c>
    </row>
    <row r="21" spans="1:10" ht="15.75">
      <c r="A21" s="4" t="s">
        <v>117</v>
      </c>
      <c r="B21" s="4">
        <v>2023</v>
      </c>
      <c r="C21" s="4" t="s">
        <v>608</v>
      </c>
      <c r="D21" s="4" t="s">
        <v>606</v>
      </c>
      <c r="E21" s="4">
        <f>IF('Dados brutos atualizados'!E429="","",'Dados brutos atualizados'!E429)</f>
        <v>0.99859900000000001</v>
      </c>
      <c r="F21" s="4">
        <f>IF('Dados brutos atualizados'!E427="","",'Dados brutos atualizados'!E427)</f>
        <v>5.9454770000000003</v>
      </c>
      <c r="G21" s="4">
        <f t="shared" si="0"/>
        <v>5.9371473867230007</v>
      </c>
      <c r="H21" s="4">
        <f t="shared" si="1"/>
        <v>5.9</v>
      </c>
      <c r="I21" s="16" t="s">
        <v>382</v>
      </c>
      <c r="J21" s="4" t="s">
        <v>607</v>
      </c>
    </row>
    <row r="22" spans="1:10" ht="15.75">
      <c r="A22" s="4" t="s">
        <v>117</v>
      </c>
      <c r="B22" s="4">
        <v>2025</v>
      </c>
      <c r="C22" s="4" t="s">
        <v>605</v>
      </c>
      <c r="D22" s="4" t="s">
        <v>606</v>
      </c>
      <c r="E22" s="4">
        <f>IF('Dados brutos atualizados'!E460="","",'Dados brutos atualizados'!E460)</f>
        <v>0.99199099999999996</v>
      </c>
      <c r="F22" s="4">
        <f>IF('Dados brutos atualizados'!E458="","",'Dados brutos atualizados'!E458)</f>
        <v>5.2101670000000002</v>
      </c>
      <c r="G22" s="4">
        <f t="shared" si="0"/>
        <v>5.1684387724969998</v>
      </c>
      <c r="H22" s="4">
        <f t="shared" si="1"/>
        <v>5.2</v>
      </c>
      <c r="I22" s="16" t="s">
        <v>380</v>
      </c>
      <c r="J22" s="4" t="s">
        <v>607</v>
      </c>
    </row>
    <row r="23" spans="1:10" ht="15.75">
      <c r="A23" s="4" t="s">
        <v>117</v>
      </c>
      <c r="B23" s="4">
        <v>2025</v>
      </c>
      <c r="C23" s="4" t="s">
        <v>608</v>
      </c>
      <c r="D23" s="4" t="s">
        <v>606</v>
      </c>
      <c r="E23" s="4">
        <f>IF('Dados brutos atualizados'!E461="","",'Dados brutos atualizados'!E461)</f>
        <v>0.99839900000000004</v>
      </c>
      <c r="F23" s="4">
        <f>IF('Dados brutos atualizados'!E459="","",'Dados brutos atualizados'!E459)</f>
        <v>6.110665</v>
      </c>
      <c r="G23" s="4">
        <f t="shared" si="0"/>
        <v>6.1008818253350006</v>
      </c>
      <c r="H23" s="4">
        <f t="shared" si="1"/>
        <v>6.1</v>
      </c>
      <c r="I23" s="16" t="s">
        <v>382</v>
      </c>
      <c r="J23" s="4" t="s">
        <v>607</v>
      </c>
    </row>
    <row r="24" spans="1:10" ht="15.75">
      <c r="A24" s="4" t="s">
        <v>118</v>
      </c>
      <c r="B24" s="4">
        <v>2005</v>
      </c>
      <c r="C24" s="4" t="s">
        <v>605</v>
      </c>
      <c r="D24" s="4" t="s">
        <v>606</v>
      </c>
      <c r="E24" s="4">
        <f>IF('Dados brutos atualizados'!E471="","",'Dados brutos atualizados'!E471)</f>
        <v>0.73037300000000005</v>
      </c>
      <c r="F24" s="4">
        <f>IF('Dados brutos atualizados'!E469="","",'Dados brutos atualizados'!E469)</f>
        <v>4.220167</v>
      </c>
      <c r="G24" s="4">
        <f t="shared" si="0"/>
        <v>3.082296032291</v>
      </c>
      <c r="H24" s="4">
        <f t="shared" si="1"/>
        <v>3.1</v>
      </c>
      <c r="I24" s="16" t="s">
        <v>380</v>
      </c>
      <c r="J24" s="4" t="s">
        <v>607</v>
      </c>
    </row>
    <row r="25" spans="1:10" ht="15.75">
      <c r="A25" s="4" t="s">
        <v>118</v>
      </c>
      <c r="B25" s="4">
        <v>2005</v>
      </c>
      <c r="C25" s="4" t="s">
        <v>608</v>
      </c>
      <c r="D25" s="4" t="s">
        <v>606</v>
      </c>
      <c r="E25" s="4">
        <f>IF('Dados brutos atualizados'!E472="","",'Dados brutos atualizados'!E472)</f>
        <v>0.78340600000000005</v>
      </c>
      <c r="F25" s="4">
        <f>IF('Dados brutos atualizados'!E470="","",'Dados brutos atualizados'!E470)</f>
        <v>4.2264369999999998</v>
      </c>
      <c r="G25" s="4">
        <f t="shared" si="0"/>
        <v>3.3110161044219999</v>
      </c>
      <c r="H25" s="4">
        <f t="shared" si="1"/>
        <v>3.3</v>
      </c>
      <c r="I25" s="16" t="s">
        <v>382</v>
      </c>
      <c r="J25" s="4" t="s">
        <v>607</v>
      </c>
    </row>
    <row r="26" spans="1:10" ht="15.75">
      <c r="A26" s="4" t="s">
        <v>118</v>
      </c>
      <c r="B26" s="4">
        <v>2007</v>
      </c>
      <c r="C26" s="4" t="s">
        <v>605</v>
      </c>
      <c r="D26" s="4" t="s">
        <v>606</v>
      </c>
      <c r="E26" s="4">
        <f>IF('Dados brutos atualizados'!E475="","",'Dados brutos atualizados'!E475)</f>
        <v>0.79240600000000005</v>
      </c>
      <c r="F26" s="4">
        <f>IF('Dados brutos atualizados'!E473="","",'Dados brutos atualizados'!E473)</f>
        <v>4.1046670000000001</v>
      </c>
      <c r="G26" s="4">
        <f t="shared" si="0"/>
        <v>3.2525627588020001</v>
      </c>
      <c r="H26" s="4">
        <f t="shared" si="1"/>
        <v>3.3</v>
      </c>
      <c r="I26" s="16" t="s">
        <v>380</v>
      </c>
      <c r="J26" s="4" t="s">
        <v>607</v>
      </c>
    </row>
    <row r="27" spans="1:10" ht="15.75">
      <c r="A27" s="4" t="s">
        <v>118</v>
      </c>
      <c r="B27" s="4">
        <v>2007</v>
      </c>
      <c r="C27" s="4" t="s">
        <v>608</v>
      </c>
      <c r="D27" s="4" t="s">
        <v>606</v>
      </c>
      <c r="E27" s="4">
        <f>IF('Dados brutos atualizados'!E476="","",'Dados brutos atualizados'!E476)</f>
        <v>0.85284199999999999</v>
      </c>
      <c r="F27" s="4">
        <f>IF('Dados brutos atualizados'!E474="","",'Dados brutos atualizados'!E474)</f>
        <v>4.3145439999999997</v>
      </c>
      <c r="G27" s="4">
        <f t="shared" si="0"/>
        <v>3.6796243340479995</v>
      </c>
      <c r="H27" s="4">
        <f t="shared" si="1"/>
        <v>3.7</v>
      </c>
      <c r="I27" s="16" t="s">
        <v>382</v>
      </c>
      <c r="J27" s="4" t="s">
        <v>607</v>
      </c>
    </row>
    <row r="28" spans="1:10" ht="15.75">
      <c r="A28" s="4" t="s">
        <v>118</v>
      </c>
      <c r="B28" s="4">
        <v>2009</v>
      </c>
      <c r="C28" s="4" t="s">
        <v>605</v>
      </c>
      <c r="D28" s="4" t="s">
        <v>606</v>
      </c>
      <c r="E28" s="4">
        <f>IF('Dados brutos atualizados'!E479="","",'Dados brutos atualizados'!E479)</f>
        <v>0.79591699999999999</v>
      </c>
      <c r="F28" s="4">
        <f>IF('Dados brutos atualizados'!E477="","",'Dados brutos atualizados'!E477)</f>
        <v>4.3876670000000004</v>
      </c>
      <c r="G28" s="4">
        <f t="shared" si="0"/>
        <v>3.4922187556390001</v>
      </c>
      <c r="H28" s="4">
        <f t="shared" si="1"/>
        <v>3.5</v>
      </c>
      <c r="I28" s="16" t="s">
        <v>380</v>
      </c>
      <c r="J28" s="4" t="s">
        <v>607</v>
      </c>
    </row>
    <row r="29" spans="1:10" ht="15.75">
      <c r="A29" s="4" t="s">
        <v>118</v>
      </c>
      <c r="B29" s="4">
        <v>2009</v>
      </c>
      <c r="C29" s="4" t="s">
        <v>608</v>
      </c>
      <c r="D29" s="4" t="s">
        <v>606</v>
      </c>
      <c r="E29" s="4">
        <f>IF('Dados brutos atualizados'!E480="","",'Dados brutos atualizados'!E480)</f>
        <v>0.872112</v>
      </c>
      <c r="F29" s="4">
        <f>IF('Dados brutos atualizados'!E478="","",'Dados brutos atualizados'!E478)</f>
        <v>4.4536990000000003</v>
      </c>
      <c r="G29" s="4">
        <f t="shared" si="0"/>
        <v>3.8841243422880001</v>
      </c>
      <c r="H29" s="4">
        <f t="shared" si="1"/>
        <v>3.9</v>
      </c>
      <c r="I29" s="16" t="s">
        <v>382</v>
      </c>
      <c r="J29" s="4" t="s">
        <v>607</v>
      </c>
    </row>
    <row r="30" spans="1:10" ht="15.75">
      <c r="A30" s="4" t="s">
        <v>118</v>
      </c>
      <c r="B30" s="4">
        <v>2011</v>
      </c>
      <c r="C30" s="4" t="s">
        <v>605</v>
      </c>
      <c r="D30" s="4" t="s">
        <v>606</v>
      </c>
      <c r="E30" s="4">
        <f>IF('Dados brutos atualizados'!E485="","",'Dados brutos atualizados'!E485)</f>
        <v>0.80950800000000001</v>
      </c>
      <c r="F30" s="4">
        <f>IF('Dados brutos atualizados'!E483="","",'Dados brutos atualizados'!E483)</f>
        <v>4.321167</v>
      </c>
      <c r="G30" s="4">
        <f t="shared" si="0"/>
        <v>3.4980192558360002</v>
      </c>
      <c r="H30" s="4">
        <f t="shared" si="1"/>
        <v>3.5</v>
      </c>
      <c r="I30" s="16" t="s">
        <v>380</v>
      </c>
      <c r="J30" s="4" t="s">
        <v>607</v>
      </c>
    </row>
    <row r="31" spans="1:10" ht="15.75">
      <c r="A31" s="4" t="s">
        <v>118</v>
      </c>
      <c r="B31" s="4">
        <v>2011</v>
      </c>
      <c r="C31" s="4" t="s">
        <v>608</v>
      </c>
      <c r="D31" s="4" t="s">
        <v>606</v>
      </c>
      <c r="E31" s="4">
        <f>IF('Dados brutos atualizados'!E486="","",'Dados brutos atualizados'!E486)</f>
        <v>0.88511499999999999</v>
      </c>
      <c r="F31" s="4">
        <f>IF('Dados brutos atualizados'!E484="","",'Dados brutos atualizados'!E484)</f>
        <v>4.7008989999999997</v>
      </c>
      <c r="G31" s="4">
        <f t="shared" si="0"/>
        <v>4.1608362183849996</v>
      </c>
      <c r="H31" s="4">
        <f t="shared" si="1"/>
        <v>4.2</v>
      </c>
      <c r="I31" s="16" t="s">
        <v>382</v>
      </c>
      <c r="J31" s="4" t="s">
        <v>607</v>
      </c>
    </row>
    <row r="32" spans="1:10" ht="15.75">
      <c r="A32" s="4" t="s">
        <v>118</v>
      </c>
      <c r="B32" s="4">
        <v>2013</v>
      </c>
      <c r="C32" s="4" t="s">
        <v>605</v>
      </c>
      <c r="D32" s="4" t="s">
        <v>606</v>
      </c>
      <c r="E32" s="4">
        <f>IF('Dados brutos atualizados'!E493="","",'Dados brutos atualizados'!E493)</f>
        <v>0.80941300000000005</v>
      </c>
      <c r="F32" s="4">
        <f>IF('Dados brutos atualizados'!E491="","",'Dados brutos atualizados'!E491)</f>
        <v>4.4596669999999996</v>
      </c>
      <c r="G32" s="4">
        <f t="shared" si="0"/>
        <v>3.6097124454710001</v>
      </c>
      <c r="H32" s="4">
        <f t="shared" si="1"/>
        <v>3.6</v>
      </c>
      <c r="I32" s="16" t="s">
        <v>380</v>
      </c>
      <c r="J32" s="4" t="s">
        <v>607</v>
      </c>
    </row>
    <row r="33" spans="1:10" ht="15.75">
      <c r="A33" s="4" t="s">
        <v>118</v>
      </c>
      <c r="B33" s="4">
        <v>2013</v>
      </c>
      <c r="C33" s="4" t="s">
        <v>608</v>
      </c>
      <c r="D33" s="4" t="s">
        <v>606</v>
      </c>
      <c r="E33" s="4">
        <f>IF('Dados brutos atualizados'!E494="","",'Dados brutos atualizados'!E494)</f>
        <v>0.90210500000000005</v>
      </c>
      <c r="F33" s="4">
        <f>IF('Dados brutos atualizados'!E492="","",'Dados brutos atualizados'!E492)</f>
        <v>4.6166159999999996</v>
      </c>
      <c r="G33" s="4">
        <f t="shared" si="0"/>
        <v>4.1646723766799996</v>
      </c>
      <c r="H33" s="4">
        <f t="shared" si="1"/>
        <v>4.2</v>
      </c>
      <c r="I33" s="16" t="s">
        <v>382</v>
      </c>
      <c r="J33" s="4" t="s">
        <v>607</v>
      </c>
    </row>
    <row r="34" spans="1:10" ht="15.75">
      <c r="A34" s="4" t="s">
        <v>118</v>
      </c>
      <c r="B34" s="4">
        <v>2015</v>
      </c>
      <c r="C34" s="4" t="s">
        <v>605</v>
      </c>
      <c r="D34" s="4" t="s">
        <v>606</v>
      </c>
      <c r="E34" s="4">
        <f>IF('Dados brutos atualizados'!E501="","",'Dados brutos atualizados'!E501)</f>
        <v>0.83511100000000005</v>
      </c>
      <c r="F34" s="4">
        <f>IF('Dados brutos atualizados'!E499="","",'Dados brutos atualizados'!E499)</f>
        <v>5.1043329999999996</v>
      </c>
      <c r="G34" s="4">
        <f t="shared" si="0"/>
        <v>4.2626846359629997</v>
      </c>
      <c r="H34" s="4">
        <f t="shared" si="1"/>
        <v>4.3</v>
      </c>
      <c r="I34" s="16" t="s">
        <v>380</v>
      </c>
      <c r="J34" s="4" t="s">
        <v>607</v>
      </c>
    </row>
    <row r="35" spans="1:10" ht="15.75">
      <c r="A35" s="4" t="s">
        <v>118</v>
      </c>
      <c r="B35" s="4">
        <v>2015</v>
      </c>
      <c r="C35" s="4" t="s">
        <v>608</v>
      </c>
      <c r="D35" s="4" t="s">
        <v>606</v>
      </c>
      <c r="E35" s="4">
        <f>IF('Dados brutos atualizados'!E502="","",'Dados brutos atualizados'!E502)</f>
        <v>0.92276599999999998</v>
      </c>
      <c r="F35" s="4">
        <f>IF('Dados brutos atualizados'!E500="","",'Dados brutos atualizados'!E500)</f>
        <v>5.3032069999999996</v>
      </c>
      <c r="G35" s="4">
        <f t="shared" si="0"/>
        <v>4.8936191105619997</v>
      </c>
      <c r="H35" s="4">
        <f t="shared" si="1"/>
        <v>4.9000000000000004</v>
      </c>
      <c r="I35" s="16" t="s">
        <v>382</v>
      </c>
      <c r="J35" s="4" t="s">
        <v>607</v>
      </c>
    </row>
    <row r="36" spans="1:10" ht="15.75">
      <c r="A36" s="4" t="s">
        <v>118</v>
      </c>
      <c r="B36" s="4">
        <v>2017</v>
      </c>
      <c r="C36" s="4" t="s">
        <v>605</v>
      </c>
      <c r="D36" s="4" t="s">
        <v>606</v>
      </c>
      <c r="E36" s="4">
        <f>IF('Dados brutos atualizados'!E529="","",'Dados brutos atualizados'!E529)</f>
        <v>0.85812699999999997</v>
      </c>
      <c r="F36" s="4">
        <f>IF('Dados brutos atualizados'!E527="","",'Dados brutos atualizados'!E527)</f>
        <v>5.0309999999999997</v>
      </c>
      <c r="G36" s="4">
        <f t="shared" si="0"/>
        <v>4.3172369369999997</v>
      </c>
      <c r="H36" s="4">
        <f t="shared" si="1"/>
        <v>4.3</v>
      </c>
      <c r="I36" s="16" t="s">
        <v>380</v>
      </c>
      <c r="J36" s="4" t="s">
        <v>607</v>
      </c>
    </row>
    <row r="37" spans="1:10" ht="15.75">
      <c r="A37" s="4" t="s">
        <v>118</v>
      </c>
      <c r="B37" s="4">
        <v>2017</v>
      </c>
      <c r="C37" s="4" t="s">
        <v>608</v>
      </c>
      <c r="D37" s="4" t="s">
        <v>606</v>
      </c>
      <c r="E37" s="4">
        <f>IF('Dados brutos atualizados'!E530="","",'Dados brutos atualizados'!E530)</f>
        <v>0.93831299999999995</v>
      </c>
      <c r="F37" s="4">
        <f>IF('Dados brutos atualizados'!E528="","",'Dados brutos atualizados'!E528)</f>
        <v>5.3607860000000001</v>
      </c>
      <c r="G37" s="4">
        <f t="shared" si="0"/>
        <v>5.0300951940180001</v>
      </c>
      <c r="H37" s="4">
        <f t="shared" si="1"/>
        <v>5</v>
      </c>
      <c r="I37" s="16" t="s">
        <v>382</v>
      </c>
      <c r="J37" s="4" t="s">
        <v>607</v>
      </c>
    </row>
    <row r="38" spans="1:10" ht="15.75">
      <c r="A38" s="4" t="s">
        <v>118</v>
      </c>
      <c r="B38" s="4">
        <v>2019</v>
      </c>
      <c r="C38" s="4" t="s">
        <v>605</v>
      </c>
      <c r="D38" s="4" t="s">
        <v>606</v>
      </c>
      <c r="E38" s="4">
        <f>IF('Dados brutos atualizados'!E563="","",'Dados brutos atualizados'!E563)</f>
        <v>0.92900700000000003</v>
      </c>
      <c r="F38" s="4">
        <f>IF('Dados brutos atualizados'!E561="","",'Dados brutos atualizados'!E561)</f>
        <v>5.2098329999999997</v>
      </c>
      <c r="G38" s="4">
        <f t="shared" si="0"/>
        <v>4.8399713258309998</v>
      </c>
      <c r="H38" s="4">
        <f t="shared" si="1"/>
        <v>4.8</v>
      </c>
      <c r="I38" s="16" t="s">
        <v>380</v>
      </c>
      <c r="J38" s="4" t="s">
        <v>607</v>
      </c>
    </row>
    <row r="39" spans="1:10" ht="15.75">
      <c r="A39" s="4" t="s">
        <v>118</v>
      </c>
      <c r="B39" s="4">
        <v>2019</v>
      </c>
      <c r="C39" s="4" t="s">
        <v>608</v>
      </c>
      <c r="D39" s="4" t="s">
        <v>606</v>
      </c>
      <c r="E39" s="4">
        <f>IF('Dados brutos atualizados'!E564="","",'Dados brutos atualizados'!E564)</f>
        <v>0.97673500000000002</v>
      </c>
      <c r="F39" s="4">
        <f>IF('Dados brutos atualizados'!E562="","",'Dados brutos atualizados'!E562)</f>
        <v>5.6275649999999997</v>
      </c>
      <c r="G39" s="4">
        <f t="shared" si="0"/>
        <v>5.4966397002749998</v>
      </c>
      <c r="H39" s="4">
        <f t="shared" si="1"/>
        <v>5.5</v>
      </c>
      <c r="I39" s="16" t="s">
        <v>382</v>
      </c>
      <c r="J39" s="4" t="s">
        <v>607</v>
      </c>
    </row>
    <row r="40" spans="1:10" ht="15.75">
      <c r="A40" s="4" t="s">
        <v>118</v>
      </c>
      <c r="B40" s="4">
        <v>2021</v>
      </c>
      <c r="C40" s="4" t="s">
        <v>605</v>
      </c>
      <c r="D40" s="4" t="s">
        <v>606</v>
      </c>
      <c r="E40" s="4">
        <f>IF('Dados brutos atualizados'!E597="","",'Dados brutos atualizados'!E597)</f>
        <v>0.99799899999999997</v>
      </c>
      <c r="F40" s="4">
        <f>IF('Dados brutos atualizados'!E595="","",'Dados brutos atualizados'!E595)</f>
        <v>4.9783330000000001</v>
      </c>
      <c r="G40" s="4">
        <f t="shared" si="0"/>
        <v>4.9683713556670002</v>
      </c>
      <c r="H40" s="4">
        <f t="shared" si="1"/>
        <v>5</v>
      </c>
      <c r="I40" s="16" t="s">
        <v>380</v>
      </c>
      <c r="J40" s="4" t="s">
        <v>607</v>
      </c>
    </row>
    <row r="41" spans="1:10" ht="15.75">
      <c r="A41" s="4" t="s">
        <v>118</v>
      </c>
      <c r="B41" s="4">
        <v>2021</v>
      </c>
      <c r="C41" s="4" t="s">
        <v>608</v>
      </c>
      <c r="D41" s="4" t="s">
        <v>606</v>
      </c>
      <c r="E41" s="4">
        <f>IF('Dados brutos atualizados'!E598="","",'Dados brutos atualizados'!E598)</f>
        <v>1</v>
      </c>
      <c r="F41" s="4">
        <f>IF('Dados brutos atualizados'!E596="","",'Dados brutos atualizados'!E596)</f>
        <v>5.4466279999999996</v>
      </c>
      <c r="G41" s="4">
        <f t="shared" si="0"/>
        <v>5.4466279999999996</v>
      </c>
      <c r="H41" s="4">
        <f t="shared" si="1"/>
        <v>5.4</v>
      </c>
      <c r="I41" s="16" t="s">
        <v>382</v>
      </c>
      <c r="J41" s="4" t="s">
        <v>607</v>
      </c>
    </row>
    <row r="42" spans="1:10" ht="15.75">
      <c r="A42" s="4" t="s">
        <v>118</v>
      </c>
      <c r="B42" s="4">
        <v>2023</v>
      </c>
      <c r="C42" s="4" t="s">
        <v>605</v>
      </c>
      <c r="D42" s="4" t="s">
        <v>606</v>
      </c>
      <c r="E42" s="4">
        <f>IF('Dados brutos atualizados'!E631="","",'Dados brutos atualizados'!E631)</f>
        <v>0.96820799999999996</v>
      </c>
      <c r="F42" s="4">
        <f>IF('Dados brutos atualizados'!E629="","",'Dados brutos atualizados'!E629)</f>
        <v>5.0503330000000002</v>
      </c>
      <c r="G42" s="4">
        <f t="shared" si="0"/>
        <v>4.8897728132639999</v>
      </c>
      <c r="H42" s="4">
        <f t="shared" si="1"/>
        <v>4.9000000000000004</v>
      </c>
      <c r="I42" s="16" t="s">
        <v>380</v>
      </c>
      <c r="J42" s="4" t="s">
        <v>607</v>
      </c>
    </row>
    <row r="43" spans="1:10" ht="15.75">
      <c r="A43" s="4" t="s">
        <v>118</v>
      </c>
      <c r="B43" s="4">
        <v>2023</v>
      </c>
      <c r="C43" s="4" t="s">
        <v>608</v>
      </c>
      <c r="D43" s="4" t="s">
        <v>606</v>
      </c>
      <c r="E43" s="4">
        <f>IF('Dados brutos atualizados'!E632="","",'Dados brutos atualizados'!E632)</f>
        <v>0.99599300000000002</v>
      </c>
      <c r="F43" s="4">
        <f>IF('Dados brutos atualizados'!E630="","",'Dados brutos atualizados'!E630)</f>
        <v>5.5389869999999997</v>
      </c>
      <c r="G43" s="4">
        <f t="shared" si="0"/>
        <v>5.5167922790909998</v>
      </c>
      <c r="H43" s="4">
        <f t="shared" si="1"/>
        <v>5.5</v>
      </c>
      <c r="I43" s="16" t="s">
        <v>382</v>
      </c>
      <c r="J43" s="4" t="s">
        <v>607</v>
      </c>
    </row>
    <row r="44" spans="1:10" ht="15.75">
      <c r="A44" s="4" t="s">
        <v>118</v>
      </c>
      <c r="B44" s="4">
        <v>2025</v>
      </c>
      <c r="C44" s="4" t="s">
        <v>605</v>
      </c>
      <c r="D44" s="4" t="s">
        <v>606</v>
      </c>
      <c r="E44" s="4">
        <f>IF('Dados brutos atualizados'!E663="","",'Dados brutos atualizados'!E663)</f>
        <v>0.97520799999999996</v>
      </c>
      <c r="F44" s="4">
        <f>IF('Dados brutos atualizados'!E661="","",'Dados brutos atualizados'!E661)</f>
        <v>5.0735000000000001</v>
      </c>
      <c r="G44" s="4">
        <f t="shared" si="0"/>
        <v>4.9477177880000003</v>
      </c>
      <c r="H44" s="4">
        <f t="shared" si="1"/>
        <v>4.9000000000000004</v>
      </c>
      <c r="I44" s="16" t="s">
        <v>380</v>
      </c>
      <c r="J44" s="4" t="s">
        <v>607</v>
      </c>
    </row>
    <row r="45" spans="1:10" ht="15.75">
      <c r="A45" s="4" t="s">
        <v>118</v>
      </c>
      <c r="B45" s="4">
        <v>2025</v>
      </c>
      <c r="C45" s="4" t="s">
        <v>608</v>
      </c>
      <c r="D45" s="4" t="s">
        <v>606</v>
      </c>
      <c r="E45" s="4">
        <f>IF('Dados brutos atualizados'!E664="","",'Dados brutos atualizados'!E664)</f>
        <v>0.99679399999999996</v>
      </c>
      <c r="F45" s="4">
        <f>IF('Dados brutos atualizados'!E662="","",'Dados brutos atualizados'!E662)</f>
        <v>5.6226149999999997</v>
      </c>
      <c r="G45" s="4">
        <f t="shared" si="0"/>
        <v>5.6045888963099992</v>
      </c>
      <c r="H45" s="4">
        <f t="shared" si="1"/>
        <v>5.6</v>
      </c>
      <c r="I45" s="16" t="s">
        <v>382</v>
      </c>
      <c r="J45" s="4" t="s">
        <v>607</v>
      </c>
    </row>
  </sheetData>
  <autoFilter ref="A1:J45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2.75"/>
  <cols>
    <col min="1" max="1" width="22" customWidth="1"/>
    <col min="2" max="2" width="14" customWidth="1"/>
    <col min="3" max="3" width="48" customWidth="1"/>
    <col min="4" max="4" width="27" customWidth="1"/>
    <col min="5" max="5" width="38" customWidth="1"/>
    <col min="6" max="6" width="18" customWidth="1"/>
    <col min="7" max="7" width="22" customWidth="1"/>
    <col min="8" max="8" width="24" customWidth="1"/>
    <col min="9" max="9" width="90" customWidth="1"/>
    <col min="10" max="10" width="70" customWidth="1"/>
  </cols>
  <sheetData>
    <row r="1" spans="1:10" ht="33.75" customHeight="1">
      <c r="A1" s="3" t="s">
        <v>85</v>
      </c>
      <c r="B1" s="3" t="s">
        <v>1</v>
      </c>
      <c r="C1" s="3" t="s">
        <v>609</v>
      </c>
      <c r="D1" s="3" t="s">
        <v>610</v>
      </c>
      <c r="E1" s="3" t="s">
        <v>611</v>
      </c>
      <c r="F1" s="3" t="s">
        <v>612</v>
      </c>
      <c r="G1" s="3" t="s">
        <v>613</v>
      </c>
      <c r="H1" s="3" t="s">
        <v>614</v>
      </c>
      <c r="I1" s="3" t="s">
        <v>615</v>
      </c>
      <c r="J1" s="3" t="s">
        <v>616</v>
      </c>
    </row>
    <row r="2" spans="1:10">
      <c r="A2" s="4" t="s">
        <v>119</v>
      </c>
      <c r="B2" s="4">
        <v>2014</v>
      </c>
      <c r="C2" s="4" t="s">
        <v>2</v>
      </c>
      <c r="D2" s="4">
        <v>0.442</v>
      </c>
      <c r="E2" s="4" t="s">
        <v>617</v>
      </c>
      <c r="F2" s="4"/>
      <c r="G2" s="4" t="s">
        <v>618</v>
      </c>
      <c r="H2" s="4"/>
      <c r="I2" s="4" t="s">
        <v>619</v>
      </c>
      <c r="J2" s="4" t="s">
        <v>620</v>
      </c>
    </row>
    <row r="3" spans="1:10">
      <c r="A3" s="4" t="s">
        <v>119</v>
      </c>
      <c r="B3" s="4">
        <v>2014</v>
      </c>
      <c r="C3" s="4" t="s">
        <v>3</v>
      </c>
      <c r="D3" s="4">
        <v>-4.2500000000000003E-2</v>
      </c>
      <c r="E3" s="4" t="s">
        <v>617</v>
      </c>
      <c r="F3" s="4"/>
      <c r="G3" s="4" t="s">
        <v>618</v>
      </c>
      <c r="H3" s="4"/>
      <c r="I3" s="4" t="s">
        <v>621</v>
      </c>
      <c r="J3" s="4" t="s">
        <v>620</v>
      </c>
    </row>
    <row r="4" spans="1:10">
      <c r="A4" s="4" t="s">
        <v>119</v>
      </c>
      <c r="B4" s="4">
        <v>2014</v>
      </c>
      <c r="C4" s="4" t="s">
        <v>4</v>
      </c>
      <c r="D4" s="4">
        <v>0.38500000000000001</v>
      </c>
      <c r="E4" s="4" t="s">
        <v>622</v>
      </c>
      <c r="F4" s="4"/>
      <c r="G4" s="4" t="s">
        <v>618</v>
      </c>
      <c r="H4" s="4"/>
      <c r="I4" s="4" t="s">
        <v>623</v>
      </c>
      <c r="J4" s="4" t="s">
        <v>620</v>
      </c>
    </row>
    <row r="5" spans="1:10">
      <c r="A5" s="4" t="s">
        <v>119</v>
      </c>
      <c r="B5" s="4">
        <v>2014</v>
      </c>
      <c r="C5" s="4" t="s">
        <v>5</v>
      </c>
      <c r="D5" s="4">
        <v>-2.5000000000000001E-2</v>
      </c>
      <c r="E5" s="4" t="s">
        <v>617</v>
      </c>
      <c r="F5" s="4"/>
      <c r="G5" s="4" t="s">
        <v>618</v>
      </c>
      <c r="H5" s="4"/>
      <c r="I5" s="4" t="s">
        <v>624</v>
      </c>
      <c r="J5" s="4" t="s">
        <v>620</v>
      </c>
    </row>
    <row r="6" spans="1:10">
      <c r="A6" s="4" t="s">
        <v>119</v>
      </c>
      <c r="B6" s="4">
        <v>2014</v>
      </c>
      <c r="C6" s="4" t="s">
        <v>6</v>
      </c>
      <c r="D6" s="4">
        <v>0.44</v>
      </c>
      <c r="E6" s="4" t="s">
        <v>617</v>
      </c>
      <c r="F6" s="4"/>
      <c r="G6" s="4" t="s">
        <v>618</v>
      </c>
      <c r="H6" s="4"/>
      <c r="I6" s="4" t="s">
        <v>625</v>
      </c>
      <c r="J6" s="4" t="s">
        <v>620</v>
      </c>
    </row>
    <row r="7" spans="1:10">
      <c r="A7" s="4" t="s">
        <v>119</v>
      </c>
      <c r="B7" s="4">
        <v>2015</v>
      </c>
      <c r="C7" s="4" t="s">
        <v>2</v>
      </c>
      <c r="D7" s="4">
        <v>0.47399999999999998</v>
      </c>
      <c r="E7" s="4" t="s">
        <v>617</v>
      </c>
      <c r="F7" s="4"/>
      <c r="G7" s="4" t="s">
        <v>618</v>
      </c>
      <c r="H7" s="4"/>
      <c r="I7" s="4" t="s">
        <v>619</v>
      </c>
      <c r="J7" s="4" t="s">
        <v>620</v>
      </c>
    </row>
    <row r="8" spans="1:10">
      <c r="A8" s="4" t="s">
        <v>119</v>
      </c>
      <c r="B8" s="4">
        <v>2015</v>
      </c>
      <c r="C8" s="4" t="s">
        <v>3</v>
      </c>
      <c r="D8" s="4">
        <v>-0.06</v>
      </c>
      <c r="E8" s="4" t="s">
        <v>617</v>
      </c>
      <c r="F8" s="4"/>
      <c r="G8" s="4" t="s">
        <v>618</v>
      </c>
      <c r="H8" s="4"/>
      <c r="I8" s="4" t="s">
        <v>621</v>
      </c>
      <c r="J8" s="4" t="s">
        <v>620</v>
      </c>
    </row>
    <row r="9" spans="1:10">
      <c r="A9" s="4" t="s">
        <v>119</v>
      </c>
      <c r="B9" s="4">
        <v>2015</v>
      </c>
      <c r="C9" s="4" t="s">
        <v>4</v>
      </c>
      <c r="D9" s="4">
        <v>0.26900000000000002</v>
      </c>
      <c r="E9" s="4" t="s">
        <v>622</v>
      </c>
      <c r="F9" s="4"/>
      <c r="G9" s="4" t="s">
        <v>618</v>
      </c>
      <c r="H9" s="4"/>
      <c r="I9" s="4" t="s">
        <v>623</v>
      </c>
      <c r="J9" s="4" t="s">
        <v>620</v>
      </c>
    </row>
    <row r="10" spans="1:10">
      <c r="A10" s="4" t="s">
        <v>119</v>
      </c>
      <c r="B10" s="4">
        <v>2015</v>
      </c>
      <c r="C10" s="4" t="s">
        <v>5</v>
      </c>
      <c r="D10" s="4">
        <v>2.7E-2</v>
      </c>
      <c r="E10" s="4" t="s">
        <v>617</v>
      </c>
      <c r="F10" s="4"/>
      <c r="G10" s="4" t="s">
        <v>618</v>
      </c>
      <c r="H10" s="4"/>
      <c r="I10" s="4" t="s">
        <v>624</v>
      </c>
      <c r="J10" s="4" t="s">
        <v>620</v>
      </c>
    </row>
    <row r="11" spans="1:10">
      <c r="A11" s="4" t="s">
        <v>119</v>
      </c>
      <c r="B11" s="4">
        <v>2015</v>
      </c>
      <c r="C11" s="4" t="s">
        <v>6</v>
      </c>
      <c r="D11" s="4">
        <v>0.52</v>
      </c>
      <c r="E11" s="4" t="s">
        <v>617</v>
      </c>
      <c r="F11" s="4"/>
      <c r="G11" s="4" t="s">
        <v>618</v>
      </c>
      <c r="H11" s="4"/>
      <c r="I11" s="4" t="s">
        <v>625</v>
      </c>
      <c r="J11" s="4" t="s">
        <v>620</v>
      </c>
    </row>
    <row r="12" spans="1:10">
      <c r="A12" s="4" t="s">
        <v>119</v>
      </c>
      <c r="B12" s="4">
        <v>2016</v>
      </c>
      <c r="C12" s="4" t="s">
        <v>2</v>
      </c>
      <c r="D12" s="4">
        <v>0.42399999999999999</v>
      </c>
      <c r="E12" s="4" t="s">
        <v>617</v>
      </c>
      <c r="F12" s="4">
        <v>41.522020677074998</v>
      </c>
      <c r="G12" s="4" t="s">
        <v>618</v>
      </c>
      <c r="H12" s="4"/>
      <c r="I12" s="4" t="s">
        <v>619</v>
      </c>
      <c r="J12" s="4" t="s">
        <v>620</v>
      </c>
    </row>
    <row r="13" spans="1:10">
      <c r="A13" s="4" t="s">
        <v>119</v>
      </c>
      <c r="B13" s="4">
        <v>2016</v>
      </c>
      <c r="C13" s="4" t="s">
        <v>3</v>
      </c>
      <c r="D13" s="4">
        <v>-6.6600000000000006E-2</v>
      </c>
      <c r="E13" s="4" t="s">
        <v>617</v>
      </c>
      <c r="F13" s="4">
        <v>-6.6546689825751999</v>
      </c>
      <c r="G13" s="4" t="s">
        <v>618</v>
      </c>
      <c r="H13" s="4">
        <v>5.3310174248011304E-3</v>
      </c>
      <c r="I13" s="4" t="s">
        <v>621</v>
      </c>
      <c r="J13" s="4" t="s">
        <v>620</v>
      </c>
    </row>
    <row r="14" spans="1:10">
      <c r="A14" s="4" t="s">
        <v>119</v>
      </c>
      <c r="B14" s="4">
        <v>2016</v>
      </c>
      <c r="C14" s="4" t="s">
        <v>4</v>
      </c>
      <c r="D14" s="4">
        <v>0.41</v>
      </c>
      <c r="E14" s="4" t="s">
        <v>622</v>
      </c>
      <c r="F14" s="4"/>
      <c r="G14" s="4" t="s">
        <v>618</v>
      </c>
      <c r="H14" s="4"/>
      <c r="I14" s="4" t="s">
        <v>623</v>
      </c>
      <c r="J14" s="4" t="s">
        <v>620</v>
      </c>
    </row>
    <row r="15" spans="1:10">
      <c r="A15" s="4" t="s">
        <v>119</v>
      </c>
      <c r="B15" s="4">
        <v>2016</v>
      </c>
      <c r="C15" s="4" t="s">
        <v>5</v>
      </c>
      <c r="D15" s="4">
        <v>-2.1000000000000001E-2</v>
      </c>
      <c r="E15" s="4" t="s">
        <v>617</v>
      </c>
      <c r="F15" s="4">
        <v>-2.1</v>
      </c>
      <c r="G15" s="4" t="s">
        <v>618</v>
      </c>
      <c r="H15" s="4">
        <v>0</v>
      </c>
      <c r="I15" s="4" t="s">
        <v>624</v>
      </c>
      <c r="J15" s="4" t="s">
        <v>620</v>
      </c>
    </row>
    <row r="16" spans="1:10">
      <c r="A16" s="4" t="s">
        <v>119</v>
      </c>
      <c r="B16" s="4">
        <v>2016</v>
      </c>
      <c r="C16" s="4" t="s">
        <v>6</v>
      </c>
      <c r="D16" s="4">
        <v>0.54</v>
      </c>
      <c r="E16" s="4" t="s">
        <v>617</v>
      </c>
      <c r="F16" s="4">
        <v>53.1</v>
      </c>
      <c r="G16" s="4" t="s">
        <v>618</v>
      </c>
      <c r="H16" s="4">
        <v>-0.89999999999999902</v>
      </c>
      <c r="I16" s="4" t="s">
        <v>625</v>
      </c>
      <c r="J16" s="4" t="s">
        <v>620</v>
      </c>
    </row>
    <row r="17" spans="1:10">
      <c r="A17" s="4" t="s">
        <v>119</v>
      </c>
      <c r="B17" s="4">
        <v>2017</v>
      </c>
      <c r="C17" s="4" t="s">
        <v>2</v>
      </c>
      <c r="D17" s="4">
        <v>0.41799999999999998</v>
      </c>
      <c r="E17" s="4" t="s">
        <v>617</v>
      </c>
      <c r="F17" s="4">
        <v>41.121454021199</v>
      </c>
      <c r="G17" s="4" t="s">
        <v>618</v>
      </c>
      <c r="H17" s="4"/>
      <c r="I17" s="4" t="s">
        <v>619</v>
      </c>
      <c r="J17" s="4" t="s">
        <v>620</v>
      </c>
    </row>
    <row r="18" spans="1:10">
      <c r="A18" s="4" t="s">
        <v>119</v>
      </c>
      <c r="B18" s="4">
        <v>2017</v>
      </c>
      <c r="C18" s="4" t="s">
        <v>3</v>
      </c>
      <c r="D18" s="4">
        <v>-6.6900000000000001E-2</v>
      </c>
      <c r="E18" s="4" t="s">
        <v>617</v>
      </c>
      <c r="F18" s="4">
        <v>-6.6933411315782996</v>
      </c>
      <c r="G18" s="4" t="s">
        <v>618</v>
      </c>
      <c r="H18" s="4">
        <v>-3.34113157829918E-3</v>
      </c>
      <c r="I18" s="4" t="s">
        <v>621</v>
      </c>
      <c r="J18" s="4" t="s">
        <v>620</v>
      </c>
    </row>
    <row r="19" spans="1:10">
      <c r="A19" s="4" t="s">
        <v>119</v>
      </c>
      <c r="B19" s="4">
        <v>2017</v>
      </c>
      <c r="C19" s="4" t="s">
        <v>4</v>
      </c>
      <c r="D19" s="4">
        <v>0.25700000000000001</v>
      </c>
      <c r="E19" s="4" t="s">
        <v>622</v>
      </c>
      <c r="F19" s="4">
        <v>25.7</v>
      </c>
      <c r="G19" s="4" t="s">
        <v>618</v>
      </c>
      <c r="H19" s="4"/>
      <c r="I19" s="4" t="s">
        <v>623</v>
      </c>
      <c r="J19" s="4" t="s">
        <v>620</v>
      </c>
    </row>
    <row r="20" spans="1:10">
      <c r="A20" s="4" t="s">
        <v>119</v>
      </c>
      <c r="B20" s="4">
        <v>2017</v>
      </c>
      <c r="C20" s="4" t="s">
        <v>5</v>
      </c>
      <c r="D20" s="4">
        <v>2.9000000000000001E-2</v>
      </c>
      <c r="E20" s="4" t="s">
        <v>617</v>
      </c>
      <c r="F20" s="4">
        <v>2.8</v>
      </c>
      <c r="G20" s="4" t="s">
        <v>618</v>
      </c>
      <c r="H20" s="4">
        <v>-0.100000000000001</v>
      </c>
      <c r="I20" s="4" t="s">
        <v>624</v>
      </c>
      <c r="J20" s="4" t="s">
        <v>620</v>
      </c>
    </row>
    <row r="21" spans="1:10">
      <c r="A21" s="4" t="s">
        <v>119</v>
      </c>
      <c r="B21" s="4">
        <v>2017</v>
      </c>
      <c r="C21" s="4" t="s">
        <v>6</v>
      </c>
      <c r="D21" s="4">
        <v>0.56999999999999995</v>
      </c>
      <c r="E21" s="4" t="s">
        <v>617</v>
      </c>
      <c r="F21" s="4">
        <v>57</v>
      </c>
      <c r="G21" s="4" t="s">
        <v>618</v>
      </c>
      <c r="H21" s="4">
        <v>7.1054273576010003E-15</v>
      </c>
      <c r="I21" s="4" t="s">
        <v>625</v>
      </c>
      <c r="J21" s="4" t="s">
        <v>620</v>
      </c>
    </row>
    <row r="22" spans="1:10">
      <c r="A22" s="4" t="s">
        <v>119</v>
      </c>
      <c r="B22" s="4">
        <v>2018</v>
      </c>
      <c r="C22" s="4" t="s">
        <v>2</v>
      </c>
      <c r="D22" s="4">
        <v>0.40300000000000002</v>
      </c>
      <c r="E22" s="4" t="s">
        <v>617</v>
      </c>
      <c r="F22" s="4">
        <v>38.949208040045001</v>
      </c>
      <c r="G22" s="4" t="s">
        <v>618</v>
      </c>
      <c r="H22" s="4"/>
      <c r="I22" s="4" t="s">
        <v>619</v>
      </c>
      <c r="J22" s="4" t="s">
        <v>620</v>
      </c>
    </row>
    <row r="23" spans="1:10">
      <c r="A23" s="4" t="s">
        <v>119</v>
      </c>
      <c r="B23" s="4">
        <v>2018</v>
      </c>
      <c r="C23" s="4" t="s">
        <v>3</v>
      </c>
      <c r="D23" s="4">
        <v>-5.4399999999999997E-2</v>
      </c>
      <c r="E23" s="4" t="s">
        <v>617</v>
      </c>
      <c r="F23" s="4">
        <v>-5.4411455069360999</v>
      </c>
      <c r="G23" s="4" t="s">
        <v>618</v>
      </c>
      <c r="H23" s="4">
        <v>-1.1455069361003801E-3</v>
      </c>
      <c r="I23" s="4" t="s">
        <v>621</v>
      </c>
      <c r="J23" s="4" t="s">
        <v>620</v>
      </c>
    </row>
    <row r="24" spans="1:10">
      <c r="A24" s="4" t="s">
        <v>119</v>
      </c>
      <c r="B24" s="4">
        <v>2018</v>
      </c>
      <c r="C24" s="4" t="s">
        <v>4</v>
      </c>
      <c r="D24" s="4">
        <v>0.47599999999999998</v>
      </c>
      <c r="E24" s="4" t="s">
        <v>622</v>
      </c>
      <c r="F24" s="4">
        <v>34.299999999999997</v>
      </c>
      <c r="G24" s="4" t="s">
        <v>618</v>
      </c>
      <c r="H24" s="4"/>
      <c r="I24" s="4" t="s">
        <v>623</v>
      </c>
      <c r="J24" s="4" t="s">
        <v>620</v>
      </c>
    </row>
    <row r="25" spans="1:10">
      <c r="A25" s="4" t="s">
        <v>119</v>
      </c>
      <c r="B25" s="4">
        <v>2018</v>
      </c>
      <c r="C25" s="4" t="s">
        <v>5</v>
      </c>
      <c r="D25" s="4">
        <v>-2.5999999999999999E-2</v>
      </c>
      <c r="E25" s="4" t="s">
        <v>617</v>
      </c>
      <c r="F25" s="4">
        <v>-2.6</v>
      </c>
      <c r="G25" s="4" t="s">
        <v>618</v>
      </c>
      <c r="H25" s="4">
        <v>0</v>
      </c>
      <c r="I25" s="4" t="s">
        <v>624</v>
      </c>
      <c r="J25" s="4" t="s">
        <v>620</v>
      </c>
    </row>
    <row r="26" spans="1:10">
      <c r="A26" s="4" t="s">
        <v>119</v>
      </c>
      <c r="B26" s="4">
        <v>2018</v>
      </c>
      <c r="C26" s="4" t="s">
        <v>6</v>
      </c>
      <c r="D26" s="4">
        <v>0.86</v>
      </c>
      <c r="E26" s="4" t="s">
        <v>617</v>
      </c>
      <c r="F26" s="4">
        <v>85.2</v>
      </c>
      <c r="G26" s="4" t="s">
        <v>618</v>
      </c>
      <c r="H26" s="4">
        <v>-0.79999999999999705</v>
      </c>
      <c r="I26" s="4" t="s">
        <v>625</v>
      </c>
      <c r="J26" s="4" t="s">
        <v>620</v>
      </c>
    </row>
    <row r="27" spans="1:10">
      <c r="A27" s="4" t="s">
        <v>119</v>
      </c>
      <c r="B27" s="4">
        <v>2019</v>
      </c>
      <c r="C27" s="4" t="s">
        <v>2</v>
      </c>
      <c r="D27" s="4">
        <v>0.436</v>
      </c>
      <c r="E27" s="4" t="s">
        <v>617</v>
      </c>
      <c r="F27" s="4">
        <v>38.129057624396999</v>
      </c>
      <c r="G27" s="4" t="s">
        <v>618</v>
      </c>
      <c r="H27" s="4"/>
      <c r="I27" s="4" t="s">
        <v>619</v>
      </c>
      <c r="J27" s="4" t="s">
        <v>620</v>
      </c>
    </row>
    <row r="28" spans="1:10">
      <c r="A28" s="4" t="s">
        <v>119</v>
      </c>
      <c r="B28" s="4">
        <v>2019</v>
      </c>
      <c r="C28" s="4" t="s">
        <v>3</v>
      </c>
      <c r="D28" s="4">
        <v>-4.3999999999999997E-2</v>
      </c>
      <c r="E28" s="4" t="s">
        <v>617</v>
      </c>
      <c r="F28" s="4">
        <v>-4.4447575128894004</v>
      </c>
      <c r="G28" s="4" t="s">
        <v>618</v>
      </c>
      <c r="H28" s="4">
        <v>-4.4757512889400899E-2</v>
      </c>
      <c r="I28" s="4" t="s">
        <v>621</v>
      </c>
      <c r="J28" s="4" t="s">
        <v>620</v>
      </c>
    </row>
    <row r="29" spans="1:10">
      <c r="A29" s="4" t="s">
        <v>119</v>
      </c>
      <c r="B29" s="4">
        <v>2019</v>
      </c>
      <c r="C29" s="4" t="s">
        <v>4</v>
      </c>
      <c r="D29" s="4">
        <v>0.53800000000000003</v>
      </c>
      <c r="E29" s="4" t="s">
        <v>622</v>
      </c>
      <c r="F29" s="4">
        <v>53.5</v>
      </c>
      <c r="G29" s="4" t="s">
        <v>618</v>
      </c>
      <c r="H29" s="4"/>
      <c r="I29" s="4" t="s">
        <v>623</v>
      </c>
      <c r="J29" s="4" t="s">
        <v>620</v>
      </c>
    </row>
    <row r="30" spans="1:10">
      <c r="A30" s="4" t="s">
        <v>119</v>
      </c>
      <c r="B30" s="4">
        <v>2019</v>
      </c>
      <c r="C30" s="4" t="s">
        <v>5</v>
      </c>
      <c r="D30" s="4">
        <v>-2.1000000000000001E-2</v>
      </c>
      <c r="E30" s="4" t="s">
        <v>617</v>
      </c>
      <c r="F30" s="4">
        <v>-2</v>
      </c>
      <c r="G30" s="4" t="s">
        <v>618</v>
      </c>
      <c r="H30" s="4">
        <v>0.1</v>
      </c>
      <c r="I30" s="4" t="s">
        <v>624</v>
      </c>
      <c r="J30" s="4" t="s">
        <v>620</v>
      </c>
    </row>
    <row r="31" spans="1:10">
      <c r="A31" s="4" t="s">
        <v>119</v>
      </c>
      <c r="B31" s="4">
        <v>2019</v>
      </c>
      <c r="C31" s="4" t="s">
        <v>6</v>
      </c>
      <c r="D31" s="4">
        <v>0.9</v>
      </c>
      <c r="E31" s="4" t="s">
        <v>617</v>
      </c>
      <c r="F31" s="4">
        <v>89.8</v>
      </c>
      <c r="G31" s="4" t="s">
        <v>618</v>
      </c>
      <c r="H31" s="4">
        <v>-0.20000000000000301</v>
      </c>
      <c r="I31" s="4" t="s">
        <v>625</v>
      </c>
      <c r="J31" s="4" t="s">
        <v>620</v>
      </c>
    </row>
    <row r="32" spans="1:10">
      <c r="A32" s="4" t="s">
        <v>119</v>
      </c>
      <c r="B32" s="4">
        <v>2020</v>
      </c>
      <c r="C32" s="4" t="s">
        <v>2</v>
      </c>
      <c r="D32" s="4">
        <v>0.495</v>
      </c>
      <c r="E32" s="4" t="s">
        <v>617</v>
      </c>
      <c r="F32" s="4">
        <v>42.479239774996998</v>
      </c>
      <c r="G32" s="4" t="s">
        <v>618</v>
      </c>
      <c r="H32" s="4"/>
      <c r="I32" s="4" t="s">
        <v>619</v>
      </c>
      <c r="J32" s="4" t="s">
        <v>620</v>
      </c>
    </row>
    <row r="33" spans="1:10">
      <c r="A33" s="4" t="s">
        <v>119</v>
      </c>
      <c r="B33" s="4">
        <v>2020</v>
      </c>
      <c r="C33" s="4" t="s">
        <v>3</v>
      </c>
      <c r="D33" s="4">
        <v>-8.6300000000000002E-2</v>
      </c>
      <c r="E33" s="4" t="s">
        <v>617</v>
      </c>
      <c r="F33" s="4">
        <v>-8.6740711539257997</v>
      </c>
      <c r="G33" s="4" t="s">
        <v>618</v>
      </c>
      <c r="H33" s="4">
        <v>-4.4071153925799002E-2</v>
      </c>
      <c r="I33" s="4" t="s">
        <v>621</v>
      </c>
      <c r="J33" s="4" t="s">
        <v>620</v>
      </c>
    </row>
    <row r="34" spans="1:10">
      <c r="A34" s="4" t="s">
        <v>119</v>
      </c>
      <c r="B34" s="4">
        <v>2020</v>
      </c>
      <c r="C34" s="4" t="s">
        <v>4</v>
      </c>
      <c r="D34" s="4">
        <v>0.36099999999999999</v>
      </c>
      <c r="E34" s="4" t="s">
        <v>622</v>
      </c>
      <c r="F34" s="4">
        <v>42</v>
      </c>
      <c r="G34" s="4" t="s">
        <v>618</v>
      </c>
      <c r="H34" s="4"/>
      <c r="I34" s="4" t="s">
        <v>623</v>
      </c>
      <c r="J34" s="4" t="s">
        <v>620</v>
      </c>
    </row>
    <row r="35" spans="1:10">
      <c r="A35" s="4" t="s">
        <v>119</v>
      </c>
      <c r="B35" s="4">
        <v>2020</v>
      </c>
      <c r="C35" s="4" t="s">
        <v>5</v>
      </c>
      <c r="D35" s="4">
        <v>-9.9000000000000005E-2</v>
      </c>
      <c r="E35" s="4" t="s">
        <v>617</v>
      </c>
      <c r="F35" s="4">
        <v>-9.9</v>
      </c>
      <c r="G35" s="4" t="s">
        <v>618</v>
      </c>
      <c r="H35" s="4">
        <v>0</v>
      </c>
      <c r="I35" s="4" t="s">
        <v>624</v>
      </c>
      <c r="J35" s="4" t="s">
        <v>620</v>
      </c>
    </row>
    <row r="36" spans="1:10">
      <c r="A36" s="4" t="s">
        <v>119</v>
      </c>
      <c r="B36" s="4">
        <v>2020</v>
      </c>
      <c r="C36" s="4" t="s">
        <v>6</v>
      </c>
      <c r="D36" s="4">
        <v>1.03</v>
      </c>
      <c r="E36" s="4" t="s">
        <v>617</v>
      </c>
      <c r="F36" s="4">
        <v>103.8</v>
      </c>
      <c r="G36" s="4" t="s">
        <v>618</v>
      </c>
      <c r="H36" s="4">
        <v>0.79999999999999705</v>
      </c>
      <c r="I36" s="4" t="s">
        <v>625</v>
      </c>
      <c r="J36" s="4" t="s">
        <v>620</v>
      </c>
    </row>
    <row r="37" spans="1:10">
      <c r="A37" s="4" t="s">
        <v>119</v>
      </c>
      <c r="B37" s="4">
        <v>2021</v>
      </c>
      <c r="C37" s="4" t="s">
        <v>2</v>
      </c>
      <c r="D37" s="4">
        <v>0.46700000000000003</v>
      </c>
      <c r="E37" s="4" t="s">
        <v>617</v>
      </c>
      <c r="F37" s="4">
        <v>37.883365255393002</v>
      </c>
      <c r="G37" s="4" t="s">
        <v>618</v>
      </c>
      <c r="H37" s="4"/>
      <c r="I37" s="4" t="s">
        <v>619</v>
      </c>
      <c r="J37" s="4" t="s">
        <v>620</v>
      </c>
    </row>
    <row r="38" spans="1:10">
      <c r="A38" s="4" t="s">
        <v>119</v>
      </c>
      <c r="B38" s="4">
        <v>2021</v>
      </c>
      <c r="C38" s="4" t="s">
        <v>3</v>
      </c>
      <c r="D38" s="4">
        <v>-4.58E-2</v>
      </c>
      <c r="E38" s="4" t="s">
        <v>617</v>
      </c>
      <c r="F38" s="4">
        <v>-4.3329520225764</v>
      </c>
      <c r="G38" s="4" t="s">
        <v>618</v>
      </c>
      <c r="H38" s="4">
        <v>0.24704797742359999</v>
      </c>
      <c r="I38" s="4" t="s">
        <v>621</v>
      </c>
      <c r="J38" s="4" t="s">
        <v>620</v>
      </c>
    </row>
    <row r="39" spans="1:10">
      <c r="A39" s="4" t="s">
        <v>119</v>
      </c>
      <c r="B39" s="4">
        <v>2021</v>
      </c>
      <c r="C39" s="4" t="s">
        <v>4</v>
      </c>
      <c r="D39" s="4">
        <v>0.50900000000000001</v>
      </c>
      <c r="E39" s="4" t="s">
        <v>622</v>
      </c>
      <c r="F39" s="4">
        <v>48.4</v>
      </c>
      <c r="G39" s="4" t="s">
        <v>618</v>
      </c>
      <c r="H39" s="4"/>
      <c r="I39" s="4" t="s">
        <v>623</v>
      </c>
      <c r="J39" s="4" t="s">
        <v>620</v>
      </c>
    </row>
    <row r="40" spans="1:10">
      <c r="A40" s="4" t="s">
        <v>119</v>
      </c>
      <c r="B40" s="4">
        <v>2021</v>
      </c>
      <c r="C40" s="4" t="s">
        <v>5</v>
      </c>
      <c r="D40" s="4">
        <v>0.104</v>
      </c>
      <c r="E40" s="4" t="s">
        <v>617</v>
      </c>
      <c r="F40" s="4">
        <v>10.4</v>
      </c>
      <c r="G40" s="4" t="s">
        <v>618</v>
      </c>
      <c r="H40" s="4">
        <v>0</v>
      </c>
      <c r="I40" s="4" t="s">
        <v>624</v>
      </c>
      <c r="J40" s="4" t="s">
        <v>620</v>
      </c>
    </row>
    <row r="41" spans="1:10">
      <c r="A41" s="4" t="s">
        <v>119</v>
      </c>
      <c r="B41" s="4">
        <v>2021</v>
      </c>
      <c r="C41" s="4" t="s">
        <v>6</v>
      </c>
      <c r="D41" s="4">
        <v>0.8</v>
      </c>
      <c r="E41" s="4" t="s">
        <v>617</v>
      </c>
      <c r="F41" s="4">
        <v>81</v>
      </c>
      <c r="G41" s="4" t="s">
        <v>618</v>
      </c>
      <c r="H41" s="4">
        <v>1</v>
      </c>
      <c r="I41" s="4" t="s">
        <v>625</v>
      </c>
      <c r="J41" s="4" t="s">
        <v>620</v>
      </c>
    </row>
    <row r="42" spans="1:10">
      <c r="A42" s="4" t="s">
        <v>119</v>
      </c>
      <c r="B42" s="4">
        <v>2022</v>
      </c>
      <c r="C42" s="4" t="s">
        <v>2</v>
      </c>
      <c r="D42" s="4">
        <v>0.45</v>
      </c>
      <c r="E42" s="4" t="s">
        <v>617</v>
      </c>
      <c r="F42" s="4">
        <v>37.643122855601</v>
      </c>
      <c r="G42" s="4" t="s">
        <v>618</v>
      </c>
      <c r="H42" s="4"/>
      <c r="I42" s="4" t="s">
        <v>619</v>
      </c>
      <c r="J42" s="4" t="s">
        <v>620</v>
      </c>
    </row>
    <row r="43" spans="1:10">
      <c r="A43" s="4" t="s">
        <v>119</v>
      </c>
      <c r="B43" s="4">
        <v>2022</v>
      </c>
      <c r="C43" s="4" t="s">
        <v>3</v>
      </c>
      <c r="D43" s="4">
        <v>-3.8399999999999997E-2</v>
      </c>
      <c r="E43" s="4" t="s">
        <v>617</v>
      </c>
      <c r="F43" s="4">
        <v>-3.8363851046833002</v>
      </c>
      <c r="G43" s="4" t="s">
        <v>618</v>
      </c>
      <c r="H43" s="4">
        <v>3.6148953166996699E-3</v>
      </c>
      <c r="I43" s="4" t="s">
        <v>621</v>
      </c>
      <c r="J43" s="4" t="s">
        <v>620</v>
      </c>
    </row>
    <row r="44" spans="1:10">
      <c r="A44" s="4" t="s">
        <v>119</v>
      </c>
      <c r="B44" s="4">
        <v>2022</v>
      </c>
      <c r="C44" s="4" t="s">
        <v>4</v>
      </c>
      <c r="D44" s="4">
        <v>0.94799999999999995</v>
      </c>
      <c r="E44" s="4" t="s">
        <v>622</v>
      </c>
      <c r="F44" s="4">
        <v>72.400000000000006</v>
      </c>
      <c r="G44" s="4" t="s">
        <v>618</v>
      </c>
      <c r="H44" s="4"/>
      <c r="I44" s="4" t="s">
        <v>623</v>
      </c>
      <c r="J44" s="4" t="s">
        <v>620</v>
      </c>
    </row>
    <row r="45" spans="1:10">
      <c r="A45" s="4" t="s">
        <v>119</v>
      </c>
      <c r="B45" s="4">
        <v>2022</v>
      </c>
      <c r="C45" s="4" t="s">
        <v>5</v>
      </c>
      <c r="D45" s="4">
        <v>0.05</v>
      </c>
      <c r="E45" s="4" t="s">
        <v>617</v>
      </c>
      <c r="F45" s="4">
        <v>6</v>
      </c>
      <c r="G45" s="4" t="s">
        <v>618</v>
      </c>
      <c r="H45" s="4">
        <v>1</v>
      </c>
      <c r="I45" s="4" t="s">
        <v>624</v>
      </c>
      <c r="J45" s="4" t="s">
        <v>620</v>
      </c>
    </row>
    <row r="46" spans="1:10">
      <c r="A46" s="4" t="s">
        <v>119</v>
      </c>
      <c r="B46" s="4">
        <v>2022</v>
      </c>
      <c r="C46" s="4" t="s">
        <v>6</v>
      </c>
      <c r="D46" s="4">
        <v>0.77</v>
      </c>
      <c r="E46" s="4" t="s">
        <v>617</v>
      </c>
      <c r="F46" s="4">
        <v>84.3</v>
      </c>
      <c r="G46" s="4" t="s">
        <v>618</v>
      </c>
      <c r="H46" s="4">
        <v>7.3</v>
      </c>
      <c r="I46" s="4" t="s">
        <v>625</v>
      </c>
      <c r="J46" s="4" t="s">
        <v>620</v>
      </c>
    </row>
    <row r="47" spans="1:10">
      <c r="A47" s="4" t="s">
        <v>119</v>
      </c>
      <c r="B47" s="4">
        <v>2023</v>
      </c>
      <c r="C47" s="4" t="s">
        <v>2</v>
      </c>
      <c r="D47" s="4">
        <v>0.41899999999999998</v>
      </c>
      <c r="E47" s="4" t="s">
        <v>617</v>
      </c>
      <c r="F47" s="4">
        <v>37.637348191849</v>
      </c>
      <c r="G47" s="4" t="s">
        <v>618</v>
      </c>
      <c r="H47" s="4"/>
      <c r="I47" s="4" t="s">
        <v>619</v>
      </c>
      <c r="J47" s="4" t="s">
        <v>620</v>
      </c>
    </row>
    <row r="48" spans="1:10">
      <c r="A48" s="4" t="s">
        <v>119</v>
      </c>
      <c r="B48" s="4">
        <v>2023</v>
      </c>
      <c r="C48" s="4" t="s">
        <v>3</v>
      </c>
      <c r="D48" s="4">
        <v>-2.9000000000000001E-2</v>
      </c>
      <c r="E48" s="4" t="s">
        <v>617</v>
      </c>
      <c r="F48" s="4">
        <v>-5.2809834443614001</v>
      </c>
      <c r="G48" s="4" t="s">
        <v>618</v>
      </c>
      <c r="H48" s="4">
        <v>-2.3809834443614002</v>
      </c>
      <c r="I48" s="4" t="s">
        <v>621</v>
      </c>
      <c r="J48" s="4" t="s">
        <v>620</v>
      </c>
    </row>
    <row r="49" spans="1:10">
      <c r="A49" s="4" t="s">
        <v>119</v>
      </c>
      <c r="B49" s="4">
        <v>2023</v>
      </c>
      <c r="C49" s="4" t="s">
        <v>4</v>
      </c>
      <c r="D49" s="4">
        <v>2.1139999999999999</v>
      </c>
      <c r="E49" s="4" t="s">
        <v>622</v>
      </c>
      <c r="F49" s="4">
        <v>133.5</v>
      </c>
      <c r="G49" s="4" t="s">
        <v>618</v>
      </c>
      <c r="H49" s="4"/>
      <c r="I49" s="4" t="s">
        <v>623</v>
      </c>
      <c r="J49" s="4" t="s">
        <v>620</v>
      </c>
    </row>
    <row r="50" spans="1:10">
      <c r="A50" s="4" t="s">
        <v>119</v>
      </c>
      <c r="B50" s="4">
        <v>2023</v>
      </c>
      <c r="C50" s="4" t="s">
        <v>5</v>
      </c>
      <c r="D50" s="4">
        <v>-1.6E-2</v>
      </c>
      <c r="E50" s="4" t="s">
        <v>617</v>
      </c>
      <c r="F50" s="4">
        <v>-1.9</v>
      </c>
      <c r="G50" s="4" t="s">
        <v>618</v>
      </c>
      <c r="H50" s="4">
        <v>-0.3</v>
      </c>
      <c r="I50" s="4" t="s">
        <v>624</v>
      </c>
      <c r="J50" s="4" t="s">
        <v>620</v>
      </c>
    </row>
    <row r="51" spans="1:10">
      <c r="A51" s="4" t="s">
        <v>119</v>
      </c>
      <c r="B51" s="4">
        <v>2023</v>
      </c>
      <c r="C51" s="4" t="s">
        <v>6</v>
      </c>
      <c r="D51" s="4">
        <v>0.88</v>
      </c>
      <c r="E51" s="4" t="s">
        <v>617</v>
      </c>
      <c r="F51" s="4">
        <v>153.4</v>
      </c>
      <c r="G51" s="4" t="s">
        <v>618</v>
      </c>
      <c r="H51" s="4">
        <v>65.400000000000006</v>
      </c>
      <c r="I51" s="4" t="s">
        <v>625</v>
      </c>
      <c r="J51" s="4" t="s">
        <v>620</v>
      </c>
    </row>
    <row r="52" spans="1:10" ht="24">
      <c r="A52" s="4" t="s">
        <v>117</v>
      </c>
      <c r="B52" s="4">
        <v>2014</v>
      </c>
      <c r="C52" s="4" t="s">
        <v>626</v>
      </c>
      <c r="D52" s="4" t="s">
        <v>24</v>
      </c>
      <c r="E52" s="4" t="s">
        <v>627</v>
      </c>
      <c r="F52" s="4"/>
      <c r="G52" s="4" t="s">
        <v>417</v>
      </c>
      <c r="H52" s="4"/>
      <c r="I52" s="4" t="s">
        <v>628</v>
      </c>
      <c r="J52" s="4" t="s">
        <v>629</v>
      </c>
    </row>
    <row r="53" spans="1:10">
      <c r="A53" s="4" t="s">
        <v>117</v>
      </c>
      <c r="B53" s="4">
        <v>2014</v>
      </c>
      <c r="C53" s="4" t="s">
        <v>630</v>
      </c>
      <c r="D53" s="4">
        <v>1.75</v>
      </c>
      <c r="E53" s="4" t="s">
        <v>627</v>
      </c>
      <c r="F53" s="4"/>
      <c r="G53" s="4" t="s">
        <v>417</v>
      </c>
      <c r="H53" s="4"/>
      <c r="I53" s="4" t="s">
        <v>631</v>
      </c>
      <c r="J53" s="4" t="s">
        <v>632</v>
      </c>
    </row>
    <row r="54" spans="1:10" ht="24">
      <c r="A54" s="4" t="s">
        <v>117</v>
      </c>
      <c r="B54" s="4">
        <v>2014</v>
      </c>
      <c r="C54" s="4" t="s">
        <v>633</v>
      </c>
      <c r="D54" s="4">
        <v>3.8</v>
      </c>
      <c r="E54" s="4" t="s">
        <v>627</v>
      </c>
      <c r="F54" s="4"/>
      <c r="G54" s="4" t="s">
        <v>417</v>
      </c>
      <c r="H54" s="4"/>
      <c r="I54" s="4" t="s">
        <v>634</v>
      </c>
      <c r="J54" s="4" t="s">
        <v>635</v>
      </c>
    </row>
    <row r="55" spans="1:10">
      <c r="A55" s="4" t="s">
        <v>117</v>
      </c>
      <c r="B55" s="4">
        <v>2014</v>
      </c>
      <c r="C55" s="4" t="s">
        <v>636</v>
      </c>
      <c r="D55" s="4" t="s">
        <v>26</v>
      </c>
      <c r="E55" s="4" t="s">
        <v>637</v>
      </c>
      <c r="F55" s="4"/>
      <c r="G55" s="4" t="s">
        <v>638</v>
      </c>
      <c r="H55" s="4"/>
      <c r="I55" s="4" t="s">
        <v>639</v>
      </c>
      <c r="J55" s="4" t="s">
        <v>640</v>
      </c>
    </row>
    <row r="56" spans="1:10" ht="24">
      <c r="A56" s="4" t="s">
        <v>117</v>
      </c>
      <c r="B56" s="4">
        <v>2015</v>
      </c>
      <c r="C56" s="4" t="s">
        <v>626</v>
      </c>
      <c r="D56" s="4" t="s">
        <v>28</v>
      </c>
      <c r="E56" s="4" t="s">
        <v>627</v>
      </c>
      <c r="F56" s="4"/>
      <c r="G56" s="4" t="s">
        <v>417</v>
      </c>
      <c r="H56" s="4"/>
      <c r="I56" s="4" t="s">
        <v>628</v>
      </c>
      <c r="J56" s="4" t="s">
        <v>629</v>
      </c>
    </row>
    <row r="57" spans="1:10">
      <c r="A57" s="4" t="s">
        <v>117</v>
      </c>
      <c r="B57" s="4">
        <v>2015</v>
      </c>
      <c r="C57" s="4" t="s">
        <v>630</v>
      </c>
      <c r="D57" s="4">
        <v>1.94</v>
      </c>
      <c r="E57" s="4" t="s">
        <v>627</v>
      </c>
      <c r="F57" s="4"/>
      <c r="G57" s="4" t="s">
        <v>417</v>
      </c>
      <c r="H57" s="4"/>
      <c r="I57" s="4" t="s">
        <v>631</v>
      </c>
      <c r="J57" s="4" t="s">
        <v>632</v>
      </c>
    </row>
    <row r="58" spans="1:10" ht="24">
      <c r="A58" s="4" t="s">
        <v>117</v>
      </c>
      <c r="B58" s="4">
        <v>2015</v>
      </c>
      <c r="C58" s="4" t="s">
        <v>633</v>
      </c>
      <c r="D58" s="4">
        <v>4.04</v>
      </c>
      <c r="E58" s="4" t="s">
        <v>627</v>
      </c>
      <c r="F58" s="4"/>
      <c r="G58" s="4" t="s">
        <v>417</v>
      </c>
      <c r="H58" s="4"/>
      <c r="I58" s="4" t="s">
        <v>634</v>
      </c>
      <c r="J58" s="4" t="s">
        <v>635</v>
      </c>
    </row>
    <row r="59" spans="1:10">
      <c r="A59" s="4" t="s">
        <v>117</v>
      </c>
      <c r="B59" s="4">
        <v>2015</v>
      </c>
      <c r="C59" s="4" t="s">
        <v>636</v>
      </c>
      <c r="D59" s="4" t="s">
        <v>30</v>
      </c>
      <c r="E59" s="4" t="s">
        <v>637</v>
      </c>
      <c r="F59" s="4"/>
      <c r="G59" s="4" t="s">
        <v>638</v>
      </c>
      <c r="H59" s="4"/>
      <c r="I59" s="4" t="s">
        <v>639</v>
      </c>
      <c r="J59" s="4" t="s">
        <v>640</v>
      </c>
    </row>
    <row r="60" spans="1:10" ht="24">
      <c r="A60" s="4" t="s">
        <v>117</v>
      </c>
      <c r="B60" s="4">
        <v>2016</v>
      </c>
      <c r="C60" s="4" t="s">
        <v>626</v>
      </c>
      <c r="D60" s="4" t="s">
        <v>31</v>
      </c>
      <c r="E60" s="4" t="s">
        <v>627</v>
      </c>
      <c r="F60" s="4">
        <v>6627300489.8299999</v>
      </c>
      <c r="G60" s="4" t="s">
        <v>417</v>
      </c>
      <c r="H60" s="4">
        <v>54.843469388551398</v>
      </c>
      <c r="I60" s="4" t="s">
        <v>628</v>
      </c>
      <c r="J60" s="4" t="s">
        <v>629</v>
      </c>
    </row>
    <row r="61" spans="1:10">
      <c r="A61" s="4" t="s">
        <v>117</v>
      </c>
      <c r="B61" s="4">
        <v>2016</v>
      </c>
      <c r="C61" s="4" t="s">
        <v>630</v>
      </c>
      <c r="D61" s="4">
        <v>2.0099999999999998</v>
      </c>
      <c r="E61" s="4" t="s">
        <v>627</v>
      </c>
      <c r="F61" s="4">
        <v>2513406309.6900001</v>
      </c>
      <c r="G61" s="4" t="s">
        <v>417</v>
      </c>
      <c r="H61" s="4">
        <v>25.0450900343284</v>
      </c>
      <c r="I61" s="4" t="s">
        <v>631</v>
      </c>
      <c r="J61" s="4" t="s">
        <v>632</v>
      </c>
    </row>
    <row r="62" spans="1:10" ht="24">
      <c r="A62" s="4" t="s">
        <v>117</v>
      </c>
      <c r="B62" s="4">
        <v>2016</v>
      </c>
      <c r="C62" s="4" t="s">
        <v>633</v>
      </c>
      <c r="D62" s="4">
        <v>4.2699999999999996</v>
      </c>
      <c r="E62" s="4" t="s">
        <v>627</v>
      </c>
      <c r="F62" s="4">
        <v>5363994044.8699999</v>
      </c>
      <c r="G62" s="4" t="s">
        <v>417</v>
      </c>
      <c r="H62" s="4"/>
      <c r="I62" s="4" t="s">
        <v>634</v>
      </c>
      <c r="J62" s="4" t="s">
        <v>635</v>
      </c>
    </row>
    <row r="63" spans="1:10">
      <c r="A63" s="4" t="s">
        <v>117</v>
      </c>
      <c r="B63" s="4">
        <v>2016</v>
      </c>
      <c r="C63" s="4" t="s">
        <v>636</v>
      </c>
      <c r="D63" s="4" t="s">
        <v>33</v>
      </c>
      <c r="E63" s="4" t="s">
        <v>637</v>
      </c>
      <c r="F63" s="4">
        <v>46.86</v>
      </c>
      <c r="G63" s="4" t="s">
        <v>638</v>
      </c>
      <c r="H63" s="4">
        <v>-0.24000000000000199</v>
      </c>
      <c r="I63" s="4" t="s">
        <v>639</v>
      </c>
      <c r="J63" s="4" t="s">
        <v>640</v>
      </c>
    </row>
    <row r="64" spans="1:10" ht="24">
      <c r="A64" s="4" t="s">
        <v>117</v>
      </c>
      <c r="B64" s="4">
        <v>2017</v>
      </c>
      <c r="C64" s="4" t="s">
        <v>626</v>
      </c>
      <c r="D64" s="4" t="s">
        <v>34</v>
      </c>
      <c r="E64" s="4" t="s">
        <v>627</v>
      </c>
      <c r="F64" s="4">
        <v>6810527069.4799995</v>
      </c>
      <c r="G64" s="4" t="s">
        <v>417</v>
      </c>
      <c r="H64" s="4">
        <v>44.904831265531897</v>
      </c>
      <c r="I64" s="4" t="s">
        <v>628</v>
      </c>
      <c r="J64" s="4" t="s">
        <v>629</v>
      </c>
    </row>
    <row r="65" spans="1:10">
      <c r="A65" s="4" t="s">
        <v>117</v>
      </c>
      <c r="B65" s="4">
        <v>2017</v>
      </c>
      <c r="C65" s="4" t="s">
        <v>630</v>
      </c>
      <c r="D65" s="4">
        <v>2.16</v>
      </c>
      <c r="E65" s="4" t="s">
        <v>627</v>
      </c>
      <c r="F65" s="4">
        <v>2643555559.9099998</v>
      </c>
      <c r="G65" s="4" t="s">
        <v>417</v>
      </c>
      <c r="H65" s="4">
        <v>22.3868314773148</v>
      </c>
      <c r="I65" s="4" t="s">
        <v>631</v>
      </c>
      <c r="J65" s="4" t="s">
        <v>632</v>
      </c>
    </row>
    <row r="66" spans="1:10" ht="24">
      <c r="A66" s="4" t="s">
        <v>117</v>
      </c>
      <c r="B66" s="4">
        <v>2017</v>
      </c>
      <c r="C66" s="4" t="s">
        <v>633</v>
      </c>
      <c r="D66" s="4">
        <v>4.6900000000000004</v>
      </c>
      <c r="E66" s="4" t="s">
        <v>627</v>
      </c>
      <c r="F66" s="4">
        <v>5618803666.25</v>
      </c>
      <c r="G66" s="4" t="s">
        <v>417</v>
      </c>
      <c r="H66" s="4"/>
      <c r="I66" s="4" t="s">
        <v>634</v>
      </c>
      <c r="J66" s="4" t="s">
        <v>635</v>
      </c>
    </row>
    <row r="67" spans="1:10">
      <c r="A67" s="4" t="s">
        <v>117</v>
      </c>
      <c r="B67" s="4">
        <v>2017</v>
      </c>
      <c r="C67" s="4" t="s">
        <v>636</v>
      </c>
      <c r="D67" s="4" t="s">
        <v>26</v>
      </c>
      <c r="E67" s="4" t="s">
        <v>637</v>
      </c>
      <c r="F67" s="4">
        <v>47.05</v>
      </c>
      <c r="G67" s="4" t="s">
        <v>638</v>
      </c>
      <c r="H67" s="4">
        <v>0.94999999999999596</v>
      </c>
      <c r="I67" s="4" t="s">
        <v>639</v>
      </c>
      <c r="J67" s="4" t="s">
        <v>640</v>
      </c>
    </row>
    <row r="68" spans="1:10" ht="24">
      <c r="A68" s="4" t="s">
        <v>117</v>
      </c>
      <c r="B68" s="4">
        <v>2018</v>
      </c>
      <c r="C68" s="4" t="s">
        <v>626</v>
      </c>
      <c r="D68" s="4" t="s">
        <v>36</v>
      </c>
      <c r="E68" s="4" t="s">
        <v>627</v>
      </c>
      <c r="F68" s="4">
        <v>7415661352.8800001</v>
      </c>
      <c r="G68" s="4" t="s">
        <v>417</v>
      </c>
      <c r="H68" s="4">
        <v>45.405124566274502</v>
      </c>
      <c r="I68" s="4" t="s">
        <v>628</v>
      </c>
      <c r="J68" s="4" t="s">
        <v>629</v>
      </c>
    </row>
    <row r="69" spans="1:10">
      <c r="A69" s="4" t="s">
        <v>117</v>
      </c>
      <c r="B69" s="4">
        <v>2018</v>
      </c>
      <c r="C69" s="4" t="s">
        <v>630</v>
      </c>
      <c r="D69" s="4">
        <v>2.44</v>
      </c>
      <c r="E69" s="4" t="s">
        <v>627</v>
      </c>
      <c r="F69" s="4">
        <v>2750674917.02</v>
      </c>
      <c r="G69" s="4" t="s">
        <v>417</v>
      </c>
      <c r="H69" s="4">
        <v>12.7325785663934</v>
      </c>
      <c r="I69" s="4" t="s">
        <v>631</v>
      </c>
      <c r="J69" s="4" t="s">
        <v>632</v>
      </c>
    </row>
    <row r="70" spans="1:10" ht="24">
      <c r="A70" s="4" t="s">
        <v>117</v>
      </c>
      <c r="B70" s="4">
        <v>2018</v>
      </c>
      <c r="C70" s="4" t="s">
        <v>633</v>
      </c>
      <c r="D70" s="4">
        <v>5.09</v>
      </c>
      <c r="E70" s="4" t="s">
        <v>627</v>
      </c>
      <c r="F70" s="4">
        <v>6082259997.6400003</v>
      </c>
      <c r="G70" s="4" t="s">
        <v>417</v>
      </c>
      <c r="H70" s="4"/>
      <c r="I70" s="4" t="s">
        <v>634</v>
      </c>
      <c r="J70" s="4" t="s">
        <v>635</v>
      </c>
    </row>
    <row r="71" spans="1:10">
      <c r="A71" s="4" t="s">
        <v>117</v>
      </c>
      <c r="B71" s="4">
        <v>2018</v>
      </c>
      <c r="C71" s="4" t="s">
        <v>636</v>
      </c>
      <c r="D71" s="4" t="s">
        <v>38</v>
      </c>
      <c r="E71" s="4" t="s">
        <v>637</v>
      </c>
      <c r="F71" s="4">
        <v>45.3</v>
      </c>
      <c r="G71" s="4" t="s">
        <v>638</v>
      </c>
      <c r="H71" s="4">
        <v>-2.6</v>
      </c>
      <c r="I71" s="4" t="s">
        <v>639</v>
      </c>
      <c r="J71" s="4" t="s">
        <v>640</v>
      </c>
    </row>
    <row r="72" spans="1:10" ht="24">
      <c r="A72" s="4" t="s">
        <v>117</v>
      </c>
      <c r="B72" s="4">
        <v>2019</v>
      </c>
      <c r="C72" s="4" t="s">
        <v>626</v>
      </c>
      <c r="D72" s="4" t="s">
        <v>39</v>
      </c>
      <c r="E72" s="4" t="s">
        <v>627</v>
      </c>
      <c r="F72" s="4">
        <v>8558992046.2299995</v>
      </c>
      <c r="G72" s="4" t="s">
        <v>417</v>
      </c>
      <c r="H72" s="4">
        <v>54.216072905045003</v>
      </c>
      <c r="I72" s="4" t="s">
        <v>628</v>
      </c>
      <c r="J72" s="4" t="s">
        <v>629</v>
      </c>
    </row>
    <row r="73" spans="1:10">
      <c r="A73" s="4" t="s">
        <v>117</v>
      </c>
      <c r="B73" s="4">
        <v>2019</v>
      </c>
      <c r="C73" s="4" t="s">
        <v>630</v>
      </c>
      <c r="D73" s="4">
        <v>2.71</v>
      </c>
      <c r="E73" s="4" t="s">
        <v>627</v>
      </c>
      <c r="F73" s="4">
        <v>2913235567.52</v>
      </c>
      <c r="G73" s="4" t="s">
        <v>417</v>
      </c>
      <c r="H73" s="4">
        <v>7.4994674361623597</v>
      </c>
      <c r="I73" s="4" t="s">
        <v>631</v>
      </c>
      <c r="J73" s="4" t="s">
        <v>632</v>
      </c>
    </row>
    <row r="74" spans="1:10" ht="24">
      <c r="A74" s="4" t="s">
        <v>117</v>
      </c>
      <c r="B74" s="4">
        <v>2019</v>
      </c>
      <c r="C74" s="4" t="s">
        <v>633</v>
      </c>
      <c r="D74" s="4">
        <v>5.54</v>
      </c>
      <c r="E74" s="4" t="s">
        <v>627</v>
      </c>
      <c r="F74" s="4">
        <v>6904910379.2200003</v>
      </c>
      <c r="G74" s="4" t="s">
        <v>417</v>
      </c>
      <c r="H74" s="4"/>
      <c r="I74" s="4" t="s">
        <v>634</v>
      </c>
      <c r="J74" s="4" t="s">
        <v>635</v>
      </c>
    </row>
    <row r="75" spans="1:10">
      <c r="A75" s="4" t="s">
        <v>117</v>
      </c>
      <c r="B75" s="4">
        <v>2019</v>
      </c>
      <c r="C75" s="4" t="s">
        <v>636</v>
      </c>
      <c r="D75" s="4" t="s">
        <v>41</v>
      </c>
      <c r="E75" s="4" t="s">
        <v>637</v>
      </c>
      <c r="F75" s="4">
        <v>42.31</v>
      </c>
      <c r="G75" s="4" t="s">
        <v>638</v>
      </c>
      <c r="H75" s="4">
        <v>-6.59</v>
      </c>
      <c r="I75" s="4" t="s">
        <v>639</v>
      </c>
      <c r="J75" s="4" t="s">
        <v>640</v>
      </c>
    </row>
    <row r="76" spans="1:10" ht="24">
      <c r="A76" s="4" t="s">
        <v>117</v>
      </c>
      <c r="B76" s="4">
        <v>2020</v>
      </c>
      <c r="C76" s="4" t="s">
        <v>626</v>
      </c>
      <c r="D76" s="4" t="s">
        <v>42</v>
      </c>
      <c r="E76" s="4" t="s">
        <v>627</v>
      </c>
      <c r="F76" s="4">
        <v>8720758081.8600006</v>
      </c>
      <c r="G76" s="4" t="s">
        <v>417</v>
      </c>
      <c r="H76" s="4">
        <v>52.194730922513102</v>
      </c>
      <c r="I76" s="4" t="s">
        <v>628</v>
      </c>
      <c r="J76" s="4" t="s">
        <v>629</v>
      </c>
    </row>
    <row r="77" spans="1:10">
      <c r="A77" s="4" t="s">
        <v>117</v>
      </c>
      <c r="B77" s="4">
        <v>2020</v>
      </c>
      <c r="C77" s="4" t="s">
        <v>630</v>
      </c>
      <c r="D77" s="4">
        <v>2.97</v>
      </c>
      <c r="E77" s="4" t="s">
        <v>627</v>
      </c>
      <c r="F77" s="4">
        <v>3271584105.46</v>
      </c>
      <c r="G77" s="4" t="s">
        <v>417</v>
      </c>
      <c r="H77" s="4">
        <v>10.1543469851852</v>
      </c>
      <c r="I77" s="4" t="s">
        <v>631</v>
      </c>
      <c r="J77" s="4" t="s">
        <v>632</v>
      </c>
    </row>
    <row r="78" spans="1:10" ht="24">
      <c r="A78" s="4" t="s">
        <v>117</v>
      </c>
      <c r="B78" s="4">
        <v>2020</v>
      </c>
      <c r="C78" s="4" t="s">
        <v>633</v>
      </c>
      <c r="D78" s="4">
        <v>5.72</v>
      </c>
      <c r="E78" s="4" t="s">
        <v>627</v>
      </c>
      <c r="F78" s="4">
        <v>7109305652</v>
      </c>
      <c r="G78" s="4" t="s">
        <v>417</v>
      </c>
      <c r="H78" s="4"/>
      <c r="I78" s="4" t="s">
        <v>634</v>
      </c>
      <c r="J78" s="4" t="s">
        <v>635</v>
      </c>
    </row>
    <row r="79" spans="1:10">
      <c r="A79" s="4" t="s">
        <v>117</v>
      </c>
      <c r="B79" s="4">
        <v>2020</v>
      </c>
      <c r="C79" s="4" t="s">
        <v>636</v>
      </c>
      <c r="D79" s="4" t="s">
        <v>44</v>
      </c>
      <c r="E79" s="4" t="s">
        <v>637</v>
      </c>
      <c r="F79" s="4">
        <v>46.03</v>
      </c>
      <c r="G79" s="4" t="s">
        <v>638</v>
      </c>
      <c r="H79" s="4">
        <v>-5.87</v>
      </c>
      <c r="I79" s="4" t="s">
        <v>639</v>
      </c>
      <c r="J79" s="4" t="s">
        <v>640</v>
      </c>
    </row>
    <row r="80" spans="1:10" ht="24">
      <c r="A80" s="4" t="s">
        <v>117</v>
      </c>
      <c r="B80" s="4">
        <v>2021</v>
      </c>
      <c r="C80" s="4" t="s">
        <v>626</v>
      </c>
      <c r="D80" s="4" t="s">
        <v>46</v>
      </c>
      <c r="E80" s="4" t="s">
        <v>627</v>
      </c>
      <c r="F80" s="4">
        <v>9559438138.8199997</v>
      </c>
      <c r="G80" s="4" t="s">
        <v>417</v>
      </c>
      <c r="H80" s="4">
        <v>38.542581722028999</v>
      </c>
      <c r="I80" s="4" t="s">
        <v>628</v>
      </c>
      <c r="J80" s="4" t="s">
        <v>629</v>
      </c>
    </row>
    <row r="81" spans="1:10">
      <c r="A81" s="4" t="s">
        <v>117</v>
      </c>
      <c r="B81" s="4">
        <v>2021</v>
      </c>
      <c r="C81" s="4" t="s">
        <v>630</v>
      </c>
      <c r="D81" s="4">
        <v>3.45</v>
      </c>
      <c r="E81" s="4" t="s">
        <v>627</v>
      </c>
      <c r="F81" s="4">
        <v>3530530434.7399998</v>
      </c>
      <c r="G81" s="4" t="s">
        <v>417</v>
      </c>
      <c r="H81" s="4">
        <v>2.3342154997101399</v>
      </c>
      <c r="I81" s="4" t="s">
        <v>631</v>
      </c>
      <c r="J81" s="4" t="s">
        <v>632</v>
      </c>
    </row>
    <row r="82" spans="1:10" ht="24">
      <c r="A82" s="4" t="s">
        <v>117</v>
      </c>
      <c r="B82" s="4">
        <v>2021</v>
      </c>
      <c r="C82" s="4" t="s">
        <v>633</v>
      </c>
      <c r="D82" s="4">
        <v>6.89</v>
      </c>
      <c r="E82" s="4" t="s">
        <v>627</v>
      </c>
      <c r="F82" s="4">
        <v>7702279867.5699997</v>
      </c>
      <c r="G82" s="4" t="s">
        <v>417</v>
      </c>
      <c r="H82" s="4"/>
      <c r="I82" s="4" t="s">
        <v>634</v>
      </c>
      <c r="J82" s="4" t="s">
        <v>635</v>
      </c>
    </row>
    <row r="83" spans="1:10">
      <c r="A83" s="4" t="s">
        <v>117</v>
      </c>
      <c r="B83" s="4">
        <v>2021</v>
      </c>
      <c r="C83" s="4" t="s">
        <v>636</v>
      </c>
      <c r="D83" s="4" t="s">
        <v>48</v>
      </c>
      <c r="E83" s="4" t="s">
        <v>637</v>
      </c>
      <c r="F83" s="4">
        <v>45.88</v>
      </c>
      <c r="G83" s="4" t="s">
        <v>638</v>
      </c>
      <c r="H83" s="4">
        <v>-4.22</v>
      </c>
      <c r="I83" s="4" t="s">
        <v>639</v>
      </c>
      <c r="J83" s="4" t="s">
        <v>640</v>
      </c>
    </row>
    <row r="84" spans="1:10" ht="24">
      <c r="A84" s="4" t="s">
        <v>117</v>
      </c>
      <c r="B84" s="4">
        <v>2022</v>
      </c>
      <c r="C84" s="4" t="s">
        <v>626</v>
      </c>
      <c r="D84" s="4" t="s">
        <v>49</v>
      </c>
      <c r="E84" s="4" t="s">
        <v>627</v>
      </c>
      <c r="F84" s="4">
        <v>10984910400.719999</v>
      </c>
      <c r="G84" s="4" t="s">
        <v>417</v>
      </c>
      <c r="H84" s="4">
        <v>33.962321959999997</v>
      </c>
      <c r="I84" s="4" t="s">
        <v>628</v>
      </c>
      <c r="J84" s="4" t="s">
        <v>629</v>
      </c>
    </row>
    <row r="85" spans="1:10">
      <c r="A85" s="4" t="s">
        <v>117</v>
      </c>
      <c r="B85" s="4">
        <v>2022</v>
      </c>
      <c r="C85" s="4" t="s">
        <v>630</v>
      </c>
      <c r="D85" s="4">
        <v>4.18</v>
      </c>
      <c r="E85" s="4" t="s">
        <v>627</v>
      </c>
      <c r="F85" s="4">
        <v>4403839917.2600002</v>
      </c>
      <c r="G85" s="4" t="s">
        <v>417</v>
      </c>
      <c r="H85" s="4">
        <v>5.3550219440191604</v>
      </c>
      <c r="I85" s="4" t="s">
        <v>631</v>
      </c>
      <c r="J85" s="4" t="s">
        <v>632</v>
      </c>
    </row>
    <row r="86" spans="1:10" ht="24">
      <c r="A86" s="4" t="s">
        <v>117</v>
      </c>
      <c r="B86" s="4">
        <v>2022</v>
      </c>
      <c r="C86" s="4" t="s">
        <v>633</v>
      </c>
      <c r="D86" s="4">
        <v>8.19</v>
      </c>
      <c r="E86" s="4" t="s">
        <v>627</v>
      </c>
      <c r="F86" s="4">
        <v>8930251958.4300003</v>
      </c>
      <c r="G86" s="4" t="s">
        <v>417</v>
      </c>
      <c r="H86" s="4"/>
      <c r="I86" s="4" t="s">
        <v>634</v>
      </c>
      <c r="J86" s="4" t="s">
        <v>635</v>
      </c>
    </row>
    <row r="87" spans="1:10">
      <c r="A87" s="4" t="s">
        <v>117</v>
      </c>
      <c r="B87" s="4">
        <v>2022</v>
      </c>
      <c r="C87" s="4" t="s">
        <v>636</v>
      </c>
      <c r="D87" s="4" t="s">
        <v>51</v>
      </c>
      <c r="E87" s="4" t="s">
        <v>637</v>
      </c>
      <c r="F87" s="4">
        <v>49.34</v>
      </c>
      <c r="G87" s="4" t="s">
        <v>638</v>
      </c>
      <c r="H87" s="4">
        <v>-1.66</v>
      </c>
      <c r="I87" s="4" t="s">
        <v>639</v>
      </c>
      <c r="J87" s="4" t="s">
        <v>640</v>
      </c>
    </row>
    <row r="88" spans="1:10" ht="24">
      <c r="A88" s="4" t="s">
        <v>117</v>
      </c>
      <c r="B88" s="4">
        <v>2023</v>
      </c>
      <c r="C88" s="4" t="s">
        <v>626</v>
      </c>
      <c r="D88" s="4" t="s">
        <v>52</v>
      </c>
      <c r="E88" s="4" t="s">
        <v>627</v>
      </c>
      <c r="F88" s="4">
        <v>13483834203.27</v>
      </c>
      <c r="G88" s="4" t="s">
        <v>417</v>
      </c>
      <c r="H88" s="4">
        <v>41.935096876526302</v>
      </c>
      <c r="I88" s="4" t="s">
        <v>628</v>
      </c>
      <c r="J88" s="4" t="s">
        <v>629</v>
      </c>
    </row>
    <row r="89" spans="1:10">
      <c r="A89" s="4" t="s">
        <v>117</v>
      </c>
      <c r="B89" s="4">
        <v>2023</v>
      </c>
      <c r="C89" s="4" t="s">
        <v>630</v>
      </c>
      <c r="D89" s="4">
        <v>5.03</v>
      </c>
      <c r="E89" s="4" t="s">
        <v>627</v>
      </c>
      <c r="F89" s="4">
        <v>4811055780.0600004</v>
      </c>
      <c r="G89" s="4" t="s">
        <v>417</v>
      </c>
      <c r="H89" s="4">
        <v>-4.3527677920477101</v>
      </c>
      <c r="I89" s="4" t="s">
        <v>631</v>
      </c>
      <c r="J89" s="4" t="s">
        <v>632</v>
      </c>
    </row>
    <row r="90" spans="1:10" ht="24">
      <c r="A90" s="4" t="s">
        <v>117</v>
      </c>
      <c r="B90" s="4">
        <v>2023</v>
      </c>
      <c r="C90" s="4" t="s">
        <v>633</v>
      </c>
      <c r="D90" s="4">
        <v>9.49</v>
      </c>
      <c r="E90" s="4" t="s">
        <v>627</v>
      </c>
      <c r="F90" s="4">
        <v>10110743386.450001</v>
      </c>
      <c r="G90" s="4" t="s">
        <v>417</v>
      </c>
      <c r="H90" s="4"/>
      <c r="I90" s="4" t="s">
        <v>634</v>
      </c>
      <c r="J90" s="4" t="s">
        <v>635</v>
      </c>
    </row>
    <row r="91" spans="1:10">
      <c r="A91" s="4" t="s">
        <v>117</v>
      </c>
      <c r="B91" s="4">
        <v>2023</v>
      </c>
      <c r="C91" s="4" t="s">
        <v>636</v>
      </c>
      <c r="D91" s="4" t="s">
        <v>53</v>
      </c>
      <c r="E91" s="4" t="s">
        <v>637</v>
      </c>
      <c r="F91" s="4">
        <v>48.38</v>
      </c>
      <c r="G91" s="4" t="s">
        <v>638</v>
      </c>
      <c r="H91" s="4">
        <v>-4.62</v>
      </c>
      <c r="I91" s="4" t="s">
        <v>639</v>
      </c>
      <c r="J91" s="4" t="s">
        <v>640</v>
      </c>
    </row>
    <row r="92" spans="1:10" ht="24">
      <c r="A92" s="4" t="s">
        <v>118</v>
      </c>
      <c r="B92" s="4">
        <v>2014</v>
      </c>
      <c r="C92" s="4" t="s">
        <v>626</v>
      </c>
      <c r="D92" s="4">
        <v>350</v>
      </c>
      <c r="E92" s="4" t="s">
        <v>641</v>
      </c>
      <c r="F92" s="4"/>
      <c r="G92" s="4" t="s">
        <v>417</v>
      </c>
      <c r="H92" s="4"/>
      <c r="I92" s="4" t="s">
        <v>628</v>
      </c>
      <c r="J92" s="4" t="s">
        <v>629</v>
      </c>
    </row>
    <row r="93" spans="1:10">
      <c r="A93" s="4" t="s">
        <v>118</v>
      </c>
      <c r="B93" s="4">
        <v>2014</v>
      </c>
      <c r="C93" s="4" t="s">
        <v>630</v>
      </c>
      <c r="D93" s="4">
        <v>154</v>
      </c>
      <c r="E93" s="4" t="s">
        <v>641</v>
      </c>
      <c r="F93" s="4"/>
      <c r="G93" s="4" t="s">
        <v>417</v>
      </c>
      <c r="H93" s="4"/>
      <c r="I93" s="4" t="s">
        <v>631</v>
      </c>
      <c r="J93" s="4" t="s">
        <v>632</v>
      </c>
    </row>
    <row r="94" spans="1:10" ht="24">
      <c r="A94" s="4" t="s">
        <v>118</v>
      </c>
      <c r="B94" s="4">
        <v>2014</v>
      </c>
      <c r="C94" s="4" t="s">
        <v>633</v>
      </c>
      <c r="D94" s="4">
        <v>350</v>
      </c>
      <c r="E94" s="4" t="s">
        <v>641</v>
      </c>
      <c r="F94" s="4"/>
      <c r="G94" s="4" t="s">
        <v>417</v>
      </c>
      <c r="H94" s="4"/>
      <c r="I94" s="4" t="s">
        <v>634</v>
      </c>
      <c r="J94" s="4" t="s">
        <v>635</v>
      </c>
    </row>
    <row r="95" spans="1:10">
      <c r="A95" s="4" t="s">
        <v>118</v>
      </c>
      <c r="B95" s="4">
        <v>2014</v>
      </c>
      <c r="C95" s="4" t="s">
        <v>636</v>
      </c>
      <c r="D95" s="4">
        <v>0.44</v>
      </c>
      <c r="E95" s="4" t="s">
        <v>637</v>
      </c>
      <c r="F95" s="4"/>
      <c r="G95" s="4" t="s">
        <v>638</v>
      </c>
      <c r="H95" s="4"/>
      <c r="I95" s="4" t="s">
        <v>639</v>
      </c>
      <c r="J95" s="4" t="s">
        <v>640</v>
      </c>
    </row>
    <row r="96" spans="1:10" ht="24">
      <c r="A96" s="4" t="s">
        <v>118</v>
      </c>
      <c r="B96" s="4">
        <v>2015</v>
      </c>
      <c r="C96" s="4" t="s">
        <v>626</v>
      </c>
      <c r="D96" s="4">
        <v>370</v>
      </c>
      <c r="E96" s="4" t="s">
        <v>641</v>
      </c>
      <c r="F96" s="4"/>
      <c r="G96" s="4" t="s">
        <v>417</v>
      </c>
      <c r="H96" s="4"/>
      <c r="I96" s="4" t="s">
        <v>628</v>
      </c>
      <c r="J96" s="4" t="s">
        <v>629</v>
      </c>
    </row>
    <row r="97" spans="1:10">
      <c r="A97" s="4" t="s">
        <v>118</v>
      </c>
      <c r="B97" s="4">
        <v>2015</v>
      </c>
      <c r="C97" s="4" t="s">
        <v>630</v>
      </c>
      <c r="D97" s="4">
        <v>167</v>
      </c>
      <c r="E97" s="4" t="s">
        <v>641</v>
      </c>
      <c r="F97" s="4"/>
      <c r="G97" s="4" t="s">
        <v>417</v>
      </c>
      <c r="H97" s="4"/>
      <c r="I97" s="4" t="s">
        <v>631</v>
      </c>
      <c r="J97" s="4" t="s">
        <v>632</v>
      </c>
    </row>
    <row r="98" spans="1:10" ht="24">
      <c r="A98" s="4" t="s">
        <v>118</v>
      </c>
      <c r="B98" s="4">
        <v>2015</v>
      </c>
      <c r="C98" s="4" t="s">
        <v>633</v>
      </c>
      <c r="D98" s="4">
        <v>370</v>
      </c>
      <c r="E98" s="4" t="s">
        <v>641</v>
      </c>
      <c r="F98" s="4"/>
      <c r="G98" s="4" t="s">
        <v>417</v>
      </c>
      <c r="H98" s="4"/>
      <c r="I98" s="4" t="s">
        <v>634</v>
      </c>
      <c r="J98" s="4" t="s">
        <v>635</v>
      </c>
    </row>
    <row r="99" spans="1:10">
      <c r="A99" s="4" t="s">
        <v>118</v>
      </c>
      <c r="B99" s="4">
        <v>2015</v>
      </c>
      <c r="C99" s="4" t="s">
        <v>636</v>
      </c>
      <c r="D99" s="4">
        <v>0.45</v>
      </c>
      <c r="E99" s="4" t="s">
        <v>637</v>
      </c>
      <c r="F99" s="4"/>
      <c r="G99" s="4" t="s">
        <v>638</v>
      </c>
      <c r="H99" s="4"/>
      <c r="I99" s="4" t="s">
        <v>639</v>
      </c>
      <c r="J99" s="4" t="s">
        <v>640</v>
      </c>
    </row>
    <row r="100" spans="1:10" ht="24">
      <c r="A100" s="4" t="s">
        <v>118</v>
      </c>
      <c r="B100" s="4">
        <v>2016</v>
      </c>
      <c r="C100" s="4" t="s">
        <v>626</v>
      </c>
      <c r="D100" s="4">
        <v>390</v>
      </c>
      <c r="E100" s="4" t="s">
        <v>641</v>
      </c>
      <c r="F100" s="4">
        <v>539074379</v>
      </c>
      <c r="G100" s="4" t="s">
        <v>417</v>
      </c>
      <c r="H100" s="4">
        <v>38.224199743589701</v>
      </c>
      <c r="I100" s="4" t="s">
        <v>628</v>
      </c>
      <c r="J100" s="4" t="s">
        <v>629</v>
      </c>
    </row>
    <row r="101" spans="1:10">
      <c r="A101" s="4" t="s">
        <v>118</v>
      </c>
      <c r="B101" s="4">
        <v>2016</v>
      </c>
      <c r="C101" s="4" t="s">
        <v>630</v>
      </c>
      <c r="D101" s="4">
        <v>179</v>
      </c>
      <c r="E101" s="4" t="s">
        <v>641</v>
      </c>
      <c r="F101" s="4">
        <v>230651664.72999999</v>
      </c>
      <c r="G101" s="4" t="s">
        <v>417</v>
      </c>
      <c r="H101" s="4">
        <v>28.8556786201117</v>
      </c>
      <c r="I101" s="4" t="s">
        <v>631</v>
      </c>
      <c r="J101" s="4" t="s">
        <v>632</v>
      </c>
    </row>
    <row r="102" spans="1:10" ht="24">
      <c r="A102" s="4" t="s">
        <v>118</v>
      </c>
      <c r="B102" s="4">
        <v>2016</v>
      </c>
      <c r="C102" s="4" t="s">
        <v>633</v>
      </c>
      <c r="D102" s="4">
        <v>390</v>
      </c>
      <c r="E102" s="4" t="s">
        <v>641</v>
      </c>
      <c r="F102" s="4">
        <v>438548398.62</v>
      </c>
      <c r="G102" s="4" t="s">
        <v>417</v>
      </c>
      <c r="H102" s="4"/>
      <c r="I102" s="4" t="s">
        <v>634</v>
      </c>
      <c r="J102" s="4" t="s">
        <v>635</v>
      </c>
    </row>
    <row r="103" spans="1:10">
      <c r="A103" s="4" t="s">
        <v>118</v>
      </c>
      <c r="B103" s="4">
        <v>2016</v>
      </c>
      <c r="C103" s="4" t="s">
        <v>636</v>
      </c>
      <c r="D103" s="4">
        <v>0.46</v>
      </c>
      <c r="E103" s="4" t="s">
        <v>637</v>
      </c>
      <c r="F103" s="4">
        <v>52.59</v>
      </c>
      <c r="G103" s="4" t="s">
        <v>638</v>
      </c>
      <c r="H103" s="4">
        <v>6.59</v>
      </c>
      <c r="I103" s="4" t="s">
        <v>639</v>
      </c>
      <c r="J103" s="4" t="s">
        <v>640</v>
      </c>
    </row>
    <row r="104" spans="1:10" ht="24">
      <c r="A104" s="4" t="s">
        <v>118</v>
      </c>
      <c r="B104" s="4">
        <v>2017</v>
      </c>
      <c r="C104" s="4" t="s">
        <v>626</v>
      </c>
      <c r="D104" s="4">
        <v>430</v>
      </c>
      <c r="E104" s="4" t="s">
        <v>641</v>
      </c>
      <c r="F104" s="4">
        <v>672950288.23000002</v>
      </c>
      <c r="G104" s="4" t="s">
        <v>417</v>
      </c>
      <c r="H104" s="4">
        <v>56.5000670302326</v>
      </c>
      <c r="I104" s="4" t="s">
        <v>628</v>
      </c>
      <c r="J104" s="4" t="s">
        <v>629</v>
      </c>
    </row>
    <row r="105" spans="1:10">
      <c r="A105" s="4" t="s">
        <v>118</v>
      </c>
      <c r="B105" s="4">
        <v>2017</v>
      </c>
      <c r="C105" s="4" t="s">
        <v>630</v>
      </c>
      <c r="D105" s="4">
        <v>194</v>
      </c>
      <c r="E105" s="4" t="s">
        <v>641</v>
      </c>
      <c r="F105" s="4">
        <v>238920346.13999999</v>
      </c>
      <c r="G105" s="4" t="s">
        <v>417</v>
      </c>
      <c r="H105" s="4">
        <v>23.154817597938099</v>
      </c>
      <c r="I105" s="4" t="s">
        <v>631</v>
      </c>
      <c r="J105" s="4" t="s">
        <v>632</v>
      </c>
    </row>
    <row r="106" spans="1:10" ht="24">
      <c r="A106" s="4" t="s">
        <v>118</v>
      </c>
      <c r="B106" s="4">
        <v>2017</v>
      </c>
      <c r="C106" s="4" t="s">
        <v>633</v>
      </c>
      <c r="D106" s="4">
        <v>430</v>
      </c>
      <c r="E106" s="4" t="s">
        <v>641</v>
      </c>
      <c r="F106" s="4">
        <v>585515548.22000003</v>
      </c>
      <c r="G106" s="4" t="s">
        <v>417</v>
      </c>
      <c r="H106" s="4"/>
      <c r="I106" s="4" t="s">
        <v>634</v>
      </c>
      <c r="J106" s="4" t="s">
        <v>635</v>
      </c>
    </row>
    <row r="107" spans="1:10">
      <c r="A107" s="4" t="s">
        <v>118</v>
      </c>
      <c r="B107" s="4">
        <v>2017</v>
      </c>
      <c r="C107" s="4" t="s">
        <v>636</v>
      </c>
      <c r="D107" s="4">
        <v>0.45</v>
      </c>
      <c r="E107" s="4" t="s">
        <v>637</v>
      </c>
      <c r="F107" s="4">
        <v>40.81</v>
      </c>
      <c r="G107" s="4" t="s">
        <v>638</v>
      </c>
      <c r="H107" s="4">
        <v>-4.1900000000000004</v>
      </c>
      <c r="I107" s="4" t="s">
        <v>639</v>
      </c>
      <c r="J107" s="4" t="s">
        <v>640</v>
      </c>
    </row>
    <row r="108" spans="1:10" ht="24">
      <c r="A108" s="4" t="s">
        <v>118</v>
      </c>
      <c r="B108" s="4">
        <v>2018</v>
      </c>
      <c r="C108" s="4" t="s">
        <v>626</v>
      </c>
      <c r="D108" s="4">
        <v>480</v>
      </c>
      <c r="E108" s="4" t="s">
        <v>641</v>
      </c>
      <c r="F108" s="4">
        <v>582217089.00999999</v>
      </c>
      <c r="G108" s="4" t="s">
        <v>417</v>
      </c>
      <c r="H108" s="4">
        <v>21.295226877083302</v>
      </c>
      <c r="I108" s="4" t="s">
        <v>628</v>
      </c>
      <c r="J108" s="4" t="s">
        <v>629</v>
      </c>
    </row>
    <row r="109" spans="1:10">
      <c r="A109" s="4" t="s">
        <v>118</v>
      </c>
      <c r="B109" s="4">
        <v>2018</v>
      </c>
      <c r="C109" s="4" t="s">
        <v>630</v>
      </c>
      <c r="D109" s="4">
        <v>221</v>
      </c>
      <c r="E109" s="4" t="s">
        <v>641</v>
      </c>
      <c r="F109" s="4">
        <v>266754618.03999999</v>
      </c>
      <c r="G109" s="4" t="s">
        <v>417</v>
      </c>
      <c r="H109" s="4">
        <v>20.703447076923101</v>
      </c>
      <c r="I109" s="4" t="s">
        <v>631</v>
      </c>
      <c r="J109" s="4" t="s">
        <v>632</v>
      </c>
    </row>
    <row r="110" spans="1:10" ht="24">
      <c r="A110" s="4" t="s">
        <v>118</v>
      </c>
      <c r="B110" s="4">
        <v>2018</v>
      </c>
      <c r="C110" s="4" t="s">
        <v>633</v>
      </c>
      <c r="D110" s="4">
        <v>480</v>
      </c>
      <c r="E110" s="4" t="s">
        <v>641</v>
      </c>
      <c r="F110" s="4">
        <v>494888166</v>
      </c>
      <c r="G110" s="4" t="s">
        <v>417</v>
      </c>
      <c r="H110" s="4"/>
      <c r="I110" s="4" t="s">
        <v>634</v>
      </c>
      <c r="J110" s="4" t="s">
        <v>635</v>
      </c>
    </row>
    <row r="111" spans="1:10">
      <c r="A111" s="4" t="s">
        <v>118</v>
      </c>
      <c r="B111" s="4">
        <v>2018</v>
      </c>
      <c r="C111" s="4" t="s">
        <v>636</v>
      </c>
      <c r="D111" s="4">
        <v>0.46</v>
      </c>
      <c r="E111" s="4" t="s">
        <v>637</v>
      </c>
      <c r="F111" s="4">
        <v>53.9</v>
      </c>
      <c r="G111" s="4" t="s">
        <v>638</v>
      </c>
      <c r="H111" s="4">
        <v>7.9</v>
      </c>
      <c r="I111" s="4" t="s">
        <v>639</v>
      </c>
      <c r="J111" s="4" t="s">
        <v>640</v>
      </c>
    </row>
    <row r="112" spans="1:10" ht="24">
      <c r="A112" s="4" t="s">
        <v>118</v>
      </c>
      <c r="B112" s="4">
        <v>2019</v>
      </c>
      <c r="C112" s="4" t="s">
        <v>626</v>
      </c>
      <c r="D112" s="4">
        <v>520</v>
      </c>
      <c r="E112" s="4" t="s">
        <v>641</v>
      </c>
      <c r="F112" s="4">
        <v>631746512.92999995</v>
      </c>
      <c r="G112" s="4" t="s">
        <v>417</v>
      </c>
      <c r="H112" s="4">
        <v>21.489714025000001</v>
      </c>
      <c r="I112" s="4" t="s">
        <v>628</v>
      </c>
      <c r="J112" s="4" t="s">
        <v>629</v>
      </c>
    </row>
    <row r="113" spans="1:10">
      <c r="A113" s="4" t="s">
        <v>118</v>
      </c>
      <c r="B113" s="4">
        <v>2019</v>
      </c>
      <c r="C113" s="4" t="s">
        <v>630</v>
      </c>
      <c r="D113" s="4">
        <v>244</v>
      </c>
      <c r="E113" s="4" t="s">
        <v>641</v>
      </c>
      <c r="F113" s="4">
        <v>286296307.11000001</v>
      </c>
      <c r="G113" s="4" t="s">
        <v>417</v>
      </c>
      <c r="H113" s="4">
        <v>17.3345520942623</v>
      </c>
      <c r="I113" s="4" t="s">
        <v>631</v>
      </c>
      <c r="J113" s="4" t="s">
        <v>632</v>
      </c>
    </row>
    <row r="114" spans="1:10" ht="24">
      <c r="A114" s="4" t="s">
        <v>118</v>
      </c>
      <c r="B114" s="4">
        <v>2019</v>
      </c>
      <c r="C114" s="4" t="s">
        <v>633</v>
      </c>
      <c r="D114" s="4">
        <v>520</v>
      </c>
      <c r="E114" s="4" t="s">
        <v>641</v>
      </c>
      <c r="F114" s="4">
        <v>540508310.49000001</v>
      </c>
      <c r="G114" s="4" t="s">
        <v>417</v>
      </c>
      <c r="H114" s="4"/>
      <c r="I114" s="4" t="s">
        <v>634</v>
      </c>
      <c r="J114" s="4" t="s">
        <v>635</v>
      </c>
    </row>
    <row r="115" spans="1:10">
      <c r="A115" s="4" t="s">
        <v>118</v>
      </c>
      <c r="B115" s="4">
        <v>2019</v>
      </c>
      <c r="C115" s="4" t="s">
        <v>636</v>
      </c>
      <c r="D115" s="4">
        <v>0.47</v>
      </c>
      <c r="E115" s="4" t="s">
        <v>637</v>
      </c>
      <c r="F115" s="4">
        <v>52.97</v>
      </c>
      <c r="G115" s="4" t="s">
        <v>638</v>
      </c>
      <c r="H115" s="4">
        <v>5.97</v>
      </c>
      <c r="I115" s="4" t="s">
        <v>639</v>
      </c>
      <c r="J115" s="4" t="s">
        <v>640</v>
      </c>
    </row>
    <row r="116" spans="1:10" ht="24">
      <c r="A116" s="4" t="s">
        <v>118</v>
      </c>
      <c r="B116" s="4">
        <v>2020</v>
      </c>
      <c r="C116" s="4" t="s">
        <v>626</v>
      </c>
      <c r="D116" s="4">
        <v>565</v>
      </c>
      <c r="E116" s="4" t="s">
        <v>641</v>
      </c>
      <c r="F116" s="4">
        <v>655184732.33000004</v>
      </c>
      <c r="G116" s="4" t="s">
        <v>417</v>
      </c>
      <c r="H116" s="4">
        <v>15.9618995274336</v>
      </c>
      <c r="I116" s="4" t="s">
        <v>628</v>
      </c>
      <c r="J116" s="4" t="s">
        <v>629</v>
      </c>
    </row>
    <row r="117" spans="1:10">
      <c r="A117" s="4" t="s">
        <v>118</v>
      </c>
      <c r="B117" s="4">
        <v>2020</v>
      </c>
      <c r="C117" s="4" t="s">
        <v>630</v>
      </c>
      <c r="D117" s="4">
        <v>277</v>
      </c>
      <c r="E117" s="4" t="s">
        <v>641</v>
      </c>
      <c r="F117" s="4">
        <v>333023436.51999998</v>
      </c>
      <c r="G117" s="4" t="s">
        <v>417</v>
      </c>
      <c r="H117" s="4">
        <v>20.2250673357401</v>
      </c>
      <c r="I117" s="4" t="s">
        <v>631</v>
      </c>
      <c r="J117" s="4" t="s">
        <v>632</v>
      </c>
    </row>
    <row r="118" spans="1:10" ht="24">
      <c r="A118" s="4" t="s">
        <v>118</v>
      </c>
      <c r="B118" s="4">
        <v>2020</v>
      </c>
      <c r="C118" s="4" t="s">
        <v>633</v>
      </c>
      <c r="D118" s="4">
        <v>565</v>
      </c>
      <c r="E118" s="4" t="s">
        <v>641</v>
      </c>
      <c r="F118" s="4">
        <v>559245766.42999995</v>
      </c>
      <c r="G118" s="4" t="s">
        <v>417</v>
      </c>
      <c r="H118" s="4"/>
      <c r="I118" s="4" t="s">
        <v>634</v>
      </c>
      <c r="J118" s="4" t="s">
        <v>635</v>
      </c>
    </row>
    <row r="119" spans="1:10">
      <c r="A119" s="4" t="s">
        <v>118</v>
      </c>
      <c r="B119" s="4">
        <v>2020</v>
      </c>
      <c r="C119" s="4" t="s">
        <v>636</v>
      </c>
      <c r="D119" s="4">
        <v>0.49</v>
      </c>
      <c r="E119" s="4" t="s">
        <v>637</v>
      </c>
      <c r="F119" s="4">
        <v>60.24</v>
      </c>
      <c r="G119" s="4" t="s">
        <v>638</v>
      </c>
      <c r="H119" s="4">
        <v>11.24</v>
      </c>
      <c r="I119" s="4" t="s">
        <v>639</v>
      </c>
      <c r="J119" s="4" t="s">
        <v>640</v>
      </c>
    </row>
    <row r="120" spans="1:10" ht="24">
      <c r="A120" s="4" t="s">
        <v>118</v>
      </c>
      <c r="B120" s="4">
        <v>2021</v>
      </c>
      <c r="C120" s="4" t="s">
        <v>626</v>
      </c>
      <c r="D120" s="4">
        <v>700</v>
      </c>
      <c r="E120" s="4" t="s">
        <v>641</v>
      </c>
      <c r="F120" s="4">
        <v>761667224.14999998</v>
      </c>
      <c r="G120" s="4" t="s">
        <v>417</v>
      </c>
      <c r="H120" s="4">
        <v>8.8096034499999991</v>
      </c>
      <c r="I120" s="4" t="s">
        <v>628</v>
      </c>
      <c r="J120" s="4" t="s">
        <v>629</v>
      </c>
    </row>
    <row r="121" spans="1:10">
      <c r="A121" s="4" t="s">
        <v>118</v>
      </c>
      <c r="B121" s="4">
        <v>2021</v>
      </c>
      <c r="C121" s="4" t="s">
        <v>630</v>
      </c>
      <c r="D121" s="4">
        <v>329</v>
      </c>
      <c r="E121" s="4" t="s">
        <v>641</v>
      </c>
      <c r="F121" s="4">
        <v>332520731.26999998</v>
      </c>
      <c r="G121" s="4" t="s">
        <v>417</v>
      </c>
      <c r="H121" s="4">
        <v>1.0701310851063801</v>
      </c>
      <c r="I121" s="4" t="s">
        <v>631</v>
      </c>
      <c r="J121" s="4" t="s">
        <v>632</v>
      </c>
    </row>
    <row r="122" spans="1:10" ht="24">
      <c r="A122" s="4" t="s">
        <v>118</v>
      </c>
      <c r="B122" s="4">
        <v>2021</v>
      </c>
      <c r="C122" s="4" t="s">
        <v>633</v>
      </c>
      <c r="D122" s="4">
        <v>700</v>
      </c>
      <c r="E122" s="4" t="s">
        <v>641</v>
      </c>
      <c r="F122" s="4">
        <v>626683074.88</v>
      </c>
      <c r="G122" s="4" t="s">
        <v>417</v>
      </c>
      <c r="H122" s="4"/>
      <c r="I122" s="4" t="s">
        <v>634</v>
      </c>
      <c r="J122" s="4" t="s">
        <v>635</v>
      </c>
    </row>
    <row r="123" spans="1:10">
      <c r="A123" s="4" t="s">
        <v>118</v>
      </c>
      <c r="B123" s="4">
        <v>2021</v>
      </c>
      <c r="C123" s="4" t="s">
        <v>636</v>
      </c>
      <c r="D123" s="4">
        <v>0.47</v>
      </c>
      <c r="E123" s="4" t="s">
        <v>637</v>
      </c>
      <c r="F123" s="4">
        <v>53.21</v>
      </c>
      <c r="G123" s="4" t="s">
        <v>638</v>
      </c>
      <c r="H123" s="4">
        <v>6.21</v>
      </c>
      <c r="I123" s="4" t="s">
        <v>639</v>
      </c>
      <c r="J123" s="4" t="s">
        <v>640</v>
      </c>
    </row>
    <row r="124" spans="1:10" ht="24">
      <c r="A124" s="4" t="s">
        <v>118</v>
      </c>
      <c r="B124" s="4">
        <v>2022</v>
      </c>
      <c r="C124" s="4" t="s">
        <v>626</v>
      </c>
      <c r="D124" s="4">
        <v>920</v>
      </c>
      <c r="E124" s="4" t="s">
        <v>641</v>
      </c>
      <c r="F124" s="4">
        <v>956209779.94000006</v>
      </c>
      <c r="G124" s="4" t="s">
        <v>417</v>
      </c>
      <c r="H124" s="4">
        <v>3.9358456456521802</v>
      </c>
      <c r="I124" s="4" t="s">
        <v>628</v>
      </c>
      <c r="J124" s="4" t="s">
        <v>629</v>
      </c>
    </row>
    <row r="125" spans="1:10">
      <c r="A125" s="4" t="s">
        <v>118</v>
      </c>
      <c r="B125" s="4">
        <v>2022</v>
      </c>
      <c r="C125" s="4" t="s">
        <v>630</v>
      </c>
      <c r="D125" s="4">
        <v>423</v>
      </c>
      <c r="E125" s="4" t="s">
        <v>641</v>
      </c>
      <c r="F125" s="4">
        <v>418626238.45999998</v>
      </c>
      <c r="G125" s="4" t="s">
        <v>417</v>
      </c>
      <c r="H125" s="4">
        <v>-1.0339861796690399</v>
      </c>
      <c r="I125" s="4" t="s">
        <v>631</v>
      </c>
      <c r="J125" s="4" t="s">
        <v>632</v>
      </c>
    </row>
    <row r="126" spans="1:10" ht="24">
      <c r="A126" s="4" t="s">
        <v>118</v>
      </c>
      <c r="B126" s="4">
        <v>2022</v>
      </c>
      <c r="C126" s="4" t="s">
        <v>633</v>
      </c>
      <c r="D126" s="4">
        <v>920</v>
      </c>
      <c r="E126" s="4" t="s">
        <v>641</v>
      </c>
      <c r="F126" s="4">
        <v>777407975.14999998</v>
      </c>
      <c r="G126" s="4" t="s">
        <v>417</v>
      </c>
      <c r="H126" s="4"/>
      <c r="I126" s="4" t="s">
        <v>634</v>
      </c>
      <c r="J126" s="4" t="s">
        <v>635</v>
      </c>
    </row>
    <row r="127" spans="1:10">
      <c r="A127" s="4" t="s">
        <v>118</v>
      </c>
      <c r="B127" s="4">
        <v>2022</v>
      </c>
      <c r="C127" s="4" t="s">
        <v>636</v>
      </c>
      <c r="D127" s="4">
        <v>0.46</v>
      </c>
      <c r="E127" s="4" t="s">
        <v>637</v>
      </c>
      <c r="F127" s="4">
        <v>53.88</v>
      </c>
      <c r="G127" s="4" t="s">
        <v>638</v>
      </c>
      <c r="H127" s="4">
        <v>7.88</v>
      </c>
      <c r="I127" s="4" t="s">
        <v>639</v>
      </c>
      <c r="J127" s="4" t="s">
        <v>640</v>
      </c>
    </row>
    <row r="128" spans="1:10" ht="24">
      <c r="A128" s="4" t="s">
        <v>118</v>
      </c>
      <c r="B128" s="4">
        <v>2023</v>
      </c>
      <c r="C128" s="4" t="s">
        <v>626</v>
      </c>
      <c r="D128" s="4">
        <v>1060</v>
      </c>
      <c r="E128" s="4" t="s">
        <v>641</v>
      </c>
      <c r="F128" s="4">
        <v>1005175941.84</v>
      </c>
      <c r="G128" s="4" t="s">
        <v>417</v>
      </c>
      <c r="H128" s="4">
        <v>-5.17208095849056</v>
      </c>
      <c r="I128" s="4" t="s">
        <v>628</v>
      </c>
      <c r="J128" s="4" t="s">
        <v>629</v>
      </c>
    </row>
    <row r="129" spans="1:10">
      <c r="A129" s="4" t="s">
        <v>118</v>
      </c>
      <c r="B129" s="4">
        <v>2023</v>
      </c>
      <c r="C129" s="4" t="s">
        <v>630</v>
      </c>
      <c r="D129" s="4">
        <v>498</v>
      </c>
      <c r="E129" s="4" t="s">
        <v>641</v>
      </c>
      <c r="F129" s="4">
        <v>417607993.31</v>
      </c>
      <c r="G129" s="4" t="s">
        <v>417</v>
      </c>
      <c r="H129" s="4">
        <v>-16.142973230923701</v>
      </c>
      <c r="I129" s="4" t="s">
        <v>631</v>
      </c>
      <c r="J129" s="4" t="s">
        <v>632</v>
      </c>
    </row>
    <row r="130" spans="1:10" ht="24">
      <c r="A130" s="4" t="s">
        <v>118</v>
      </c>
      <c r="B130" s="4">
        <v>2023</v>
      </c>
      <c r="C130" s="4" t="s">
        <v>633</v>
      </c>
      <c r="D130" s="4">
        <v>1060</v>
      </c>
      <c r="E130" s="4" t="s">
        <v>641</v>
      </c>
      <c r="F130" s="4">
        <v>803166082.95000005</v>
      </c>
      <c r="G130" s="4" t="s">
        <v>417</v>
      </c>
      <c r="H130" s="4"/>
      <c r="I130" s="4" t="s">
        <v>634</v>
      </c>
      <c r="J130" s="4" t="s">
        <v>635</v>
      </c>
    </row>
    <row r="131" spans="1:10">
      <c r="A131" s="4" t="s">
        <v>118</v>
      </c>
      <c r="B131" s="4">
        <v>2023</v>
      </c>
      <c r="C131" s="4" t="s">
        <v>636</v>
      </c>
      <c r="D131" s="4">
        <v>0.47</v>
      </c>
      <c r="E131" s="4" t="s">
        <v>637</v>
      </c>
      <c r="F131" s="4">
        <v>53.78</v>
      </c>
      <c r="G131" s="4" t="s">
        <v>638</v>
      </c>
      <c r="H131" s="4">
        <v>6.78</v>
      </c>
      <c r="I131" s="4" t="s">
        <v>639</v>
      </c>
      <c r="J131" s="4" t="s">
        <v>640</v>
      </c>
    </row>
    <row r="132" spans="1:10" ht="24">
      <c r="A132" s="4" t="s">
        <v>117</v>
      </c>
      <c r="B132" s="4">
        <v>2025</v>
      </c>
      <c r="C132" s="4" t="s">
        <v>642</v>
      </c>
      <c r="D132" s="4">
        <v>14376251023.65</v>
      </c>
      <c r="E132" s="4" t="s">
        <v>643</v>
      </c>
      <c r="F132" s="4">
        <v>15325827755.68</v>
      </c>
      <c r="G132" s="4" t="s">
        <v>644</v>
      </c>
      <c r="H132" s="4">
        <v>949576732.03000104</v>
      </c>
      <c r="I132" s="4" t="s">
        <v>645</v>
      </c>
      <c r="J132" s="16" t="s">
        <v>512</v>
      </c>
    </row>
    <row r="133" spans="1:10" ht="24">
      <c r="A133" s="4" t="s">
        <v>117</v>
      </c>
      <c r="B133" s="4">
        <v>2025</v>
      </c>
      <c r="C133" s="4" t="s">
        <v>646</v>
      </c>
      <c r="D133" s="4">
        <v>13965276937.07</v>
      </c>
      <c r="E133" s="4" t="s">
        <v>643</v>
      </c>
      <c r="F133" s="4">
        <v>13965276937.07</v>
      </c>
      <c r="G133" s="4" t="s">
        <v>644</v>
      </c>
      <c r="H133" s="4">
        <v>0</v>
      </c>
      <c r="I133" s="4" t="s">
        <v>647</v>
      </c>
      <c r="J133" s="16" t="s">
        <v>512</v>
      </c>
    </row>
    <row r="134" spans="1:10" ht="24">
      <c r="A134" s="4" t="s">
        <v>118</v>
      </c>
      <c r="B134" s="4">
        <v>2025</v>
      </c>
      <c r="C134" s="4" t="s">
        <v>642</v>
      </c>
      <c r="D134" s="4">
        <v>1262930721.05</v>
      </c>
      <c r="E134" s="4" t="s">
        <v>643</v>
      </c>
      <c r="F134" s="4">
        <v>1311416056.78</v>
      </c>
      <c r="G134" s="4" t="s">
        <v>644</v>
      </c>
      <c r="H134" s="4">
        <v>48485335.729999997</v>
      </c>
      <c r="I134" s="4" t="s">
        <v>645</v>
      </c>
      <c r="J134" s="16" t="s">
        <v>559</v>
      </c>
    </row>
    <row r="135" spans="1:10" ht="24">
      <c r="A135" s="4" t="s">
        <v>118</v>
      </c>
      <c r="B135" s="4">
        <v>2025</v>
      </c>
      <c r="C135" s="4" t="s">
        <v>646</v>
      </c>
      <c r="D135" s="4">
        <v>1169395792.1600001</v>
      </c>
      <c r="E135" s="4" t="s">
        <v>643</v>
      </c>
      <c r="F135" s="4">
        <v>1169395792.1600001</v>
      </c>
      <c r="G135" s="4" t="s">
        <v>644</v>
      </c>
      <c r="H135" s="4">
        <v>0</v>
      </c>
      <c r="I135" s="4" t="s">
        <v>647</v>
      </c>
      <c r="J135" s="16" t="s">
        <v>559</v>
      </c>
    </row>
  </sheetData>
  <autoFilter ref="A1:J135"/>
  <hyperlinks>
    <hyperlink ref="J132" r:id="rId1"/>
    <hyperlink ref="J133" r:id="rId2"/>
    <hyperlink ref="J134" r:id="rId3"/>
    <hyperlink ref="J135" r:id="rId4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2.75"/>
  <cols>
    <col min="1" max="1" width="26" customWidth="1"/>
    <col min="2" max="2" width="120" customWidth="1"/>
  </cols>
  <sheetData>
    <row r="1" spans="1:2" ht="33.75" customHeight="1">
      <c r="A1" s="3" t="s">
        <v>648</v>
      </c>
      <c r="B1" s="3" t="s">
        <v>649</v>
      </c>
    </row>
    <row r="2" spans="1:2">
      <c r="A2" s="4" t="s">
        <v>650</v>
      </c>
      <c r="B2" s="4" t="s">
        <v>651</v>
      </c>
    </row>
    <row r="3" spans="1:2" ht="24">
      <c r="A3" s="4" t="s">
        <v>652</v>
      </c>
      <c r="B3" s="4" t="s">
        <v>653</v>
      </c>
    </row>
    <row r="4" spans="1:2">
      <c r="A4" s="4" t="s">
        <v>654</v>
      </c>
      <c r="B4" s="4" t="s">
        <v>655</v>
      </c>
    </row>
    <row r="5" spans="1:2" ht="24">
      <c r="A5" s="4" t="s">
        <v>656</v>
      </c>
      <c r="B5" s="4" t="s">
        <v>657</v>
      </c>
    </row>
    <row r="6" spans="1:2" ht="24">
      <c r="A6" s="4" t="s">
        <v>658</v>
      </c>
      <c r="B6" s="4" t="s">
        <v>659</v>
      </c>
    </row>
    <row r="7" spans="1:2" ht="24">
      <c r="A7" s="4" t="s">
        <v>660</v>
      </c>
      <c r="B7" s="4" t="s">
        <v>661</v>
      </c>
    </row>
    <row r="8" spans="1:2" ht="24">
      <c r="A8" s="4" t="s">
        <v>662</v>
      </c>
      <c r="B8" s="4" t="s">
        <v>663</v>
      </c>
    </row>
    <row r="9" spans="1:2">
      <c r="A9" s="4" t="s">
        <v>664</v>
      </c>
      <c r="B9" s="4" t="s">
        <v>665</v>
      </c>
    </row>
    <row r="10" spans="1:2">
      <c r="A10" s="4" t="s">
        <v>666</v>
      </c>
      <c r="B10" s="4" t="s">
        <v>667</v>
      </c>
    </row>
    <row r="11" spans="1:2">
      <c r="A11" s="4" t="s">
        <v>668</v>
      </c>
      <c r="B11" s="4" t="s">
        <v>669</v>
      </c>
    </row>
    <row r="12" spans="1:2" ht="24">
      <c r="A12" s="4" t="s">
        <v>119</v>
      </c>
      <c r="B12" s="4" t="s">
        <v>670</v>
      </c>
    </row>
    <row r="13" spans="1:2">
      <c r="A13" s="4" t="s">
        <v>671</v>
      </c>
      <c r="B13" s="4" t="s">
        <v>672</v>
      </c>
    </row>
    <row r="14" spans="1:2" ht="24">
      <c r="A14" s="4" t="s">
        <v>673</v>
      </c>
      <c r="B14" s="4" t="s">
        <v>674</v>
      </c>
    </row>
    <row r="15" spans="1:2" ht="24">
      <c r="A15" s="4" t="s">
        <v>675</v>
      </c>
      <c r="B15" s="4" t="s">
        <v>676</v>
      </c>
    </row>
    <row r="16" spans="1:2" ht="24">
      <c r="A16" s="4" t="s">
        <v>532</v>
      </c>
      <c r="B16" s="4" t="s">
        <v>677</v>
      </c>
    </row>
  </sheetData>
  <autoFilter ref="A1:B16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2.75"/>
  <cols>
    <col min="1" max="1" width="35" customWidth="1"/>
    <col min="2" max="2" width="60" customWidth="1"/>
    <col min="3" max="3" width="32" customWidth="1"/>
    <col min="4" max="4" width="50" customWidth="1"/>
    <col min="5" max="5" width="30" customWidth="1"/>
    <col min="6" max="6" width="32" customWidth="1"/>
    <col min="7" max="7" width="54" customWidth="1"/>
    <col min="8" max="8" width="60" customWidth="1"/>
    <col min="9" max="9" width="56" customWidth="1"/>
    <col min="10" max="10" width="66" customWidth="1"/>
  </cols>
  <sheetData>
    <row r="1" spans="1:10" ht="33.75" customHeight="1">
      <c r="A1" s="3" t="s">
        <v>121</v>
      </c>
      <c r="B1" s="3" t="s">
        <v>678</v>
      </c>
      <c r="C1" s="3" t="s">
        <v>603</v>
      </c>
      <c r="D1" s="3" t="s">
        <v>679</v>
      </c>
      <c r="E1" s="3" t="s">
        <v>680</v>
      </c>
      <c r="F1" s="3" t="s">
        <v>681</v>
      </c>
      <c r="G1" s="3" t="s">
        <v>682</v>
      </c>
      <c r="H1" s="3" t="s">
        <v>683</v>
      </c>
      <c r="I1" s="3" t="s">
        <v>684</v>
      </c>
      <c r="J1" s="3" t="s">
        <v>685</v>
      </c>
    </row>
    <row r="2" spans="1:10" ht="24">
      <c r="A2" s="4" t="s">
        <v>460</v>
      </c>
      <c r="B2" s="4" t="s">
        <v>686</v>
      </c>
      <c r="C2" s="4" t="s">
        <v>687</v>
      </c>
      <c r="D2" s="16" t="s">
        <v>594</v>
      </c>
      <c r="E2" s="4" t="s">
        <v>688</v>
      </c>
      <c r="F2" s="4" t="s">
        <v>689</v>
      </c>
      <c r="G2" s="4" t="s">
        <v>690</v>
      </c>
      <c r="H2" s="4" t="s">
        <v>691</v>
      </c>
      <c r="I2" s="4" t="s">
        <v>692</v>
      </c>
      <c r="J2" s="4" t="s">
        <v>693</v>
      </c>
    </row>
    <row r="3" spans="1:10" ht="24">
      <c r="A3" s="4" t="s">
        <v>416</v>
      </c>
      <c r="B3" s="4" t="s">
        <v>694</v>
      </c>
      <c r="C3" s="4" t="s">
        <v>687</v>
      </c>
      <c r="D3" s="16" t="s">
        <v>594</v>
      </c>
      <c r="E3" s="4" t="s">
        <v>688</v>
      </c>
      <c r="F3" s="4" t="s">
        <v>689</v>
      </c>
      <c r="G3" s="4" t="s">
        <v>695</v>
      </c>
      <c r="H3" s="4" t="s">
        <v>696</v>
      </c>
      <c r="I3" s="4" t="s">
        <v>697</v>
      </c>
      <c r="J3" s="4" t="s">
        <v>698</v>
      </c>
    </row>
    <row r="4" spans="1:10" ht="24">
      <c r="A4" s="4" t="s">
        <v>463</v>
      </c>
      <c r="B4" s="4" t="s">
        <v>699</v>
      </c>
      <c r="C4" s="4" t="s">
        <v>687</v>
      </c>
      <c r="D4" s="16" t="s">
        <v>594</v>
      </c>
      <c r="E4" s="4" t="s">
        <v>688</v>
      </c>
      <c r="F4" s="4" t="s">
        <v>689</v>
      </c>
      <c r="G4" s="4" t="s">
        <v>700</v>
      </c>
      <c r="H4" s="4" t="s">
        <v>701</v>
      </c>
      <c r="I4" s="4" t="s">
        <v>702</v>
      </c>
      <c r="J4" s="4" t="s">
        <v>703</v>
      </c>
    </row>
    <row r="5" spans="1:10" ht="24">
      <c r="A5" s="4" t="s">
        <v>467</v>
      </c>
      <c r="B5" s="4" t="s">
        <v>704</v>
      </c>
      <c r="C5" s="4" t="s">
        <v>687</v>
      </c>
      <c r="D5" s="16" t="s">
        <v>594</v>
      </c>
      <c r="E5" s="4" t="s">
        <v>688</v>
      </c>
      <c r="F5" s="4" t="s">
        <v>689</v>
      </c>
      <c r="G5" s="4" t="s">
        <v>700</v>
      </c>
      <c r="H5" s="4" t="s">
        <v>701</v>
      </c>
      <c r="I5" s="4" t="s">
        <v>702</v>
      </c>
      <c r="J5" s="4" t="s">
        <v>703</v>
      </c>
    </row>
    <row r="6" spans="1:10" ht="24">
      <c r="A6" s="4" t="s">
        <v>433</v>
      </c>
      <c r="B6" s="4" t="s">
        <v>705</v>
      </c>
      <c r="C6" s="4" t="s">
        <v>706</v>
      </c>
      <c r="D6" s="16" t="s">
        <v>594</v>
      </c>
      <c r="E6" s="4" t="s">
        <v>688</v>
      </c>
      <c r="F6" s="4" t="s">
        <v>689</v>
      </c>
      <c r="G6" s="4" t="s">
        <v>707</v>
      </c>
      <c r="H6" s="4" t="s">
        <v>708</v>
      </c>
      <c r="I6" s="4" t="s">
        <v>709</v>
      </c>
      <c r="J6" s="4" t="s">
        <v>710</v>
      </c>
    </row>
    <row r="7" spans="1:10" ht="15.75">
      <c r="A7" s="4" t="s">
        <v>711</v>
      </c>
      <c r="B7" s="4" t="s">
        <v>712</v>
      </c>
      <c r="C7" s="4" t="s">
        <v>706</v>
      </c>
      <c r="D7" s="16" t="s">
        <v>594</v>
      </c>
      <c r="E7" s="4" t="s">
        <v>688</v>
      </c>
      <c r="F7" s="4" t="s">
        <v>689</v>
      </c>
      <c r="G7" s="4" t="s">
        <v>713</v>
      </c>
      <c r="H7" s="4" t="s">
        <v>714</v>
      </c>
      <c r="I7" s="4" t="s">
        <v>715</v>
      </c>
      <c r="J7" s="4" t="s">
        <v>716</v>
      </c>
    </row>
    <row r="8" spans="1:10" ht="24">
      <c r="A8" s="4" t="s">
        <v>717</v>
      </c>
      <c r="B8" s="4" t="s">
        <v>718</v>
      </c>
      <c r="C8" s="4" t="s">
        <v>719</v>
      </c>
      <c r="D8" s="16" t="s">
        <v>594</v>
      </c>
      <c r="E8" s="4" t="s">
        <v>720</v>
      </c>
      <c r="F8" s="4" t="s">
        <v>689</v>
      </c>
      <c r="G8" s="4" t="s">
        <v>721</v>
      </c>
      <c r="H8" s="4" t="s">
        <v>722</v>
      </c>
      <c r="I8" s="4" t="s">
        <v>723</v>
      </c>
      <c r="J8" s="4" t="s">
        <v>724</v>
      </c>
    </row>
    <row r="9" spans="1:10" ht="24">
      <c r="A9" s="4" t="s">
        <v>442</v>
      </c>
      <c r="B9" s="4" t="s">
        <v>725</v>
      </c>
      <c r="C9" s="4" t="s">
        <v>719</v>
      </c>
      <c r="D9" s="16" t="s">
        <v>594</v>
      </c>
      <c r="E9" s="4" t="s">
        <v>688</v>
      </c>
      <c r="F9" s="4" t="s">
        <v>689</v>
      </c>
      <c r="G9" s="4" t="s">
        <v>726</v>
      </c>
      <c r="H9" s="4" t="s">
        <v>727</v>
      </c>
      <c r="I9" s="4" t="s">
        <v>728</v>
      </c>
      <c r="J9" s="4" t="s">
        <v>729</v>
      </c>
    </row>
    <row r="10" spans="1:10" ht="24">
      <c r="A10" s="4" t="s">
        <v>730</v>
      </c>
      <c r="B10" s="4" t="s">
        <v>731</v>
      </c>
      <c r="C10" s="4" t="s">
        <v>732</v>
      </c>
      <c r="D10" s="16" t="s">
        <v>451</v>
      </c>
      <c r="E10" s="4" t="s">
        <v>733</v>
      </c>
      <c r="F10" s="4" t="s">
        <v>734</v>
      </c>
      <c r="G10" s="4" t="s">
        <v>735</v>
      </c>
      <c r="H10" s="4" t="s">
        <v>736</v>
      </c>
      <c r="I10" s="4" t="s">
        <v>737</v>
      </c>
      <c r="J10" s="4" t="s">
        <v>738</v>
      </c>
    </row>
    <row r="11" spans="1:10" ht="24">
      <c r="A11" s="4" t="s">
        <v>739</v>
      </c>
      <c r="B11" s="4" t="s">
        <v>740</v>
      </c>
      <c r="C11" s="4" t="s">
        <v>741</v>
      </c>
      <c r="D11" s="16" t="s">
        <v>399</v>
      </c>
      <c r="E11" s="4" t="s">
        <v>742</v>
      </c>
      <c r="F11" s="4" t="s">
        <v>743</v>
      </c>
      <c r="G11" s="4" t="s">
        <v>744</v>
      </c>
      <c r="H11" s="4" t="s">
        <v>745</v>
      </c>
      <c r="I11" s="4" t="s">
        <v>746</v>
      </c>
      <c r="J11" s="4" t="s">
        <v>747</v>
      </c>
    </row>
    <row r="12" spans="1:10" ht="24">
      <c r="A12" s="4" t="s">
        <v>748</v>
      </c>
      <c r="B12" s="4" t="s">
        <v>749</v>
      </c>
      <c r="C12" s="4" t="s">
        <v>741</v>
      </c>
      <c r="D12" s="16" t="s">
        <v>399</v>
      </c>
      <c r="E12" s="4" t="s">
        <v>750</v>
      </c>
      <c r="F12" s="4" t="s">
        <v>401</v>
      </c>
      <c r="G12" s="4" t="s">
        <v>751</v>
      </c>
      <c r="H12" s="4" t="s">
        <v>752</v>
      </c>
      <c r="I12" s="4" t="s">
        <v>753</v>
      </c>
      <c r="J12" s="4" t="s">
        <v>754</v>
      </c>
    </row>
    <row r="13" spans="1:10" ht="24">
      <c r="A13" s="4" t="s">
        <v>755</v>
      </c>
      <c r="B13" s="4" t="s">
        <v>756</v>
      </c>
      <c r="C13" s="4" t="s">
        <v>757</v>
      </c>
      <c r="D13" s="16" t="s">
        <v>229</v>
      </c>
      <c r="E13" s="4" t="s">
        <v>758</v>
      </c>
      <c r="F13" s="4" t="s">
        <v>759</v>
      </c>
      <c r="G13" s="4" t="s">
        <v>760</v>
      </c>
      <c r="H13" s="4" t="s">
        <v>761</v>
      </c>
      <c r="I13" s="4" t="s">
        <v>762</v>
      </c>
      <c r="J13" s="4" t="s">
        <v>763</v>
      </c>
    </row>
    <row r="14" spans="1:10" ht="24">
      <c r="A14" s="4" t="s">
        <v>764</v>
      </c>
      <c r="B14" s="4" t="s">
        <v>765</v>
      </c>
      <c r="C14" s="4" t="s">
        <v>766</v>
      </c>
      <c r="D14" s="16" t="s">
        <v>767</v>
      </c>
      <c r="E14" s="4" t="s">
        <v>768</v>
      </c>
      <c r="F14" s="4" t="s">
        <v>769</v>
      </c>
      <c r="G14" s="4" t="s">
        <v>770</v>
      </c>
      <c r="H14" s="4" t="s">
        <v>771</v>
      </c>
      <c r="I14" s="4" t="s">
        <v>772</v>
      </c>
      <c r="J14" s="4" t="s">
        <v>773</v>
      </c>
    </row>
    <row r="15" spans="1:10" ht="24">
      <c r="A15" s="4" t="s">
        <v>774</v>
      </c>
      <c r="B15" s="4" t="s">
        <v>775</v>
      </c>
      <c r="C15" s="4" t="s">
        <v>776</v>
      </c>
      <c r="D15" s="16" t="s">
        <v>777</v>
      </c>
      <c r="E15" s="4" t="s">
        <v>778</v>
      </c>
      <c r="F15" s="4" t="s">
        <v>779</v>
      </c>
      <c r="G15" s="4" t="s">
        <v>780</v>
      </c>
      <c r="H15" s="4" t="s">
        <v>781</v>
      </c>
      <c r="I15" s="4" t="s">
        <v>782</v>
      </c>
      <c r="J15" s="4" t="s">
        <v>783</v>
      </c>
    </row>
    <row r="16" spans="1:10" ht="24">
      <c r="A16" s="4" t="s">
        <v>784</v>
      </c>
      <c r="B16" s="4" t="s">
        <v>785</v>
      </c>
      <c r="C16" s="4" t="s">
        <v>786</v>
      </c>
      <c r="D16" s="16" t="s">
        <v>787</v>
      </c>
      <c r="E16" s="4" t="s">
        <v>788</v>
      </c>
      <c r="F16" s="4" t="s">
        <v>789</v>
      </c>
      <c r="G16" s="4" t="s">
        <v>790</v>
      </c>
      <c r="H16" s="4" t="s">
        <v>791</v>
      </c>
      <c r="I16" s="4" t="s">
        <v>792</v>
      </c>
      <c r="J16" s="4" t="s">
        <v>793</v>
      </c>
    </row>
    <row r="17" spans="1:10" ht="24">
      <c r="A17" s="4" t="s">
        <v>794</v>
      </c>
      <c r="B17" s="4" t="s">
        <v>795</v>
      </c>
      <c r="C17" s="4" t="s">
        <v>796</v>
      </c>
      <c r="D17" s="16" t="s">
        <v>154</v>
      </c>
      <c r="E17" s="4" t="s">
        <v>797</v>
      </c>
      <c r="F17" s="4" t="s">
        <v>798</v>
      </c>
      <c r="G17" s="4" t="s">
        <v>799</v>
      </c>
      <c r="H17" s="4" t="s">
        <v>800</v>
      </c>
      <c r="I17" s="4" t="s">
        <v>801</v>
      </c>
      <c r="J17" s="4" t="s">
        <v>802</v>
      </c>
    </row>
    <row r="18" spans="1:10" ht="15.75">
      <c r="A18" s="4" t="s">
        <v>803</v>
      </c>
      <c r="B18" s="4" t="s">
        <v>804</v>
      </c>
      <c r="C18" s="4" t="s">
        <v>796</v>
      </c>
      <c r="D18" s="16" t="s">
        <v>150</v>
      </c>
      <c r="E18" s="4" t="s">
        <v>778</v>
      </c>
      <c r="F18" s="4" t="s">
        <v>805</v>
      </c>
      <c r="G18" s="4" t="s">
        <v>806</v>
      </c>
      <c r="H18" s="4" t="s">
        <v>807</v>
      </c>
      <c r="I18" s="4" t="s">
        <v>808</v>
      </c>
      <c r="J18" s="4" t="s">
        <v>809</v>
      </c>
    </row>
    <row r="19" spans="1:10" ht="24">
      <c r="A19" s="4" t="s">
        <v>810</v>
      </c>
      <c r="B19" s="4" t="s">
        <v>811</v>
      </c>
      <c r="C19" s="4" t="s">
        <v>812</v>
      </c>
      <c r="D19" s="16" t="s">
        <v>178</v>
      </c>
      <c r="E19" s="4" t="s">
        <v>778</v>
      </c>
      <c r="F19" s="4" t="s">
        <v>813</v>
      </c>
      <c r="G19" s="4" t="s">
        <v>814</v>
      </c>
      <c r="H19" s="4" t="s">
        <v>815</v>
      </c>
      <c r="I19" s="4" t="s">
        <v>816</v>
      </c>
      <c r="J19" s="4" t="s">
        <v>817</v>
      </c>
    </row>
    <row r="20" spans="1:10" ht="15.75">
      <c r="A20" s="4" t="s">
        <v>818</v>
      </c>
      <c r="B20" s="4" t="s">
        <v>819</v>
      </c>
      <c r="C20" s="4" t="s">
        <v>796</v>
      </c>
      <c r="D20" s="16" t="s">
        <v>166</v>
      </c>
      <c r="E20" s="4" t="s">
        <v>778</v>
      </c>
      <c r="F20" s="4" t="s">
        <v>813</v>
      </c>
      <c r="G20" s="4" t="s">
        <v>820</v>
      </c>
      <c r="H20" s="4" t="s">
        <v>821</v>
      </c>
      <c r="I20" s="4" t="s">
        <v>822</v>
      </c>
      <c r="J20" s="4" t="s">
        <v>823</v>
      </c>
    </row>
    <row r="21" spans="1:10" ht="24">
      <c r="A21" s="4" t="s">
        <v>824</v>
      </c>
      <c r="B21" s="4" t="s">
        <v>825</v>
      </c>
      <c r="C21" s="4" t="s">
        <v>826</v>
      </c>
      <c r="D21" s="16" t="s">
        <v>161</v>
      </c>
      <c r="E21" s="4" t="s">
        <v>827</v>
      </c>
      <c r="F21" s="4" t="s">
        <v>813</v>
      </c>
      <c r="G21" s="4" t="s">
        <v>828</v>
      </c>
      <c r="H21" s="4" t="s">
        <v>829</v>
      </c>
      <c r="I21" s="4" t="s">
        <v>830</v>
      </c>
      <c r="J21" s="4" t="s">
        <v>831</v>
      </c>
    </row>
    <row r="22" spans="1:10" ht="24">
      <c r="A22" s="4" t="s">
        <v>832</v>
      </c>
      <c r="B22" s="4" t="s">
        <v>833</v>
      </c>
      <c r="C22" s="4" t="s">
        <v>796</v>
      </c>
      <c r="D22" s="16" t="s">
        <v>144</v>
      </c>
      <c r="E22" s="4" t="s">
        <v>834</v>
      </c>
      <c r="F22" s="4" t="s">
        <v>798</v>
      </c>
      <c r="G22" s="4" t="s">
        <v>835</v>
      </c>
      <c r="H22" s="4" t="s">
        <v>836</v>
      </c>
      <c r="I22" s="4" t="s">
        <v>837</v>
      </c>
      <c r="J22" s="4" t="s">
        <v>838</v>
      </c>
    </row>
    <row r="23" spans="1:10" ht="24">
      <c r="A23" s="4" t="s">
        <v>839</v>
      </c>
      <c r="B23" s="4" t="s">
        <v>840</v>
      </c>
      <c r="C23" s="4" t="s">
        <v>796</v>
      </c>
      <c r="D23" s="16" t="s">
        <v>183</v>
      </c>
      <c r="E23" s="4" t="s">
        <v>778</v>
      </c>
      <c r="F23" s="4" t="s">
        <v>841</v>
      </c>
      <c r="G23" s="4" t="s">
        <v>842</v>
      </c>
      <c r="H23" s="4" t="s">
        <v>843</v>
      </c>
      <c r="I23" s="4" t="s">
        <v>844</v>
      </c>
      <c r="J23" s="4" t="s">
        <v>845</v>
      </c>
    </row>
    <row r="24" spans="1:10" ht="24">
      <c r="A24" s="4" t="s">
        <v>846</v>
      </c>
      <c r="B24" s="4" t="s">
        <v>847</v>
      </c>
      <c r="C24" s="4" t="s">
        <v>848</v>
      </c>
      <c r="D24" s="16" t="s">
        <v>173</v>
      </c>
      <c r="E24" s="4" t="s">
        <v>849</v>
      </c>
      <c r="F24" s="4" t="s">
        <v>850</v>
      </c>
      <c r="G24" s="4" t="s">
        <v>851</v>
      </c>
      <c r="H24" s="4" t="s">
        <v>852</v>
      </c>
      <c r="I24" s="4" t="s">
        <v>853</v>
      </c>
      <c r="J24" s="4" t="s">
        <v>854</v>
      </c>
    </row>
    <row r="25" spans="1:10" ht="24">
      <c r="A25" s="4" t="s">
        <v>855</v>
      </c>
      <c r="B25" s="4" t="s">
        <v>856</v>
      </c>
      <c r="C25" s="4" t="s">
        <v>857</v>
      </c>
      <c r="D25" s="16" t="s">
        <v>594</v>
      </c>
      <c r="E25" s="4" t="s">
        <v>858</v>
      </c>
      <c r="F25" s="4" t="s">
        <v>859</v>
      </c>
      <c r="G25" s="4" t="s">
        <v>860</v>
      </c>
      <c r="H25" s="4" t="s">
        <v>861</v>
      </c>
      <c r="I25" s="4" t="s">
        <v>862</v>
      </c>
      <c r="J25" s="4" t="s">
        <v>863</v>
      </c>
    </row>
  </sheetData>
  <autoFilter ref="A1:J25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</hyperlink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2.75"/>
  <cols>
    <col min="1" max="1" width="28" customWidth="1"/>
    <col min="2" max="2" width="120" customWidth="1"/>
  </cols>
  <sheetData>
    <row r="1" spans="1:2" ht="33.75" customHeight="1">
      <c r="A1" s="3" t="s">
        <v>597</v>
      </c>
      <c r="B1" s="3" t="s">
        <v>864</v>
      </c>
    </row>
    <row r="2" spans="1:2" ht="24">
      <c r="A2" s="4" t="s">
        <v>865</v>
      </c>
      <c r="B2" s="4" t="s">
        <v>866</v>
      </c>
    </row>
    <row r="3" spans="1:2" ht="24">
      <c r="A3" s="4" t="s">
        <v>867</v>
      </c>
      <c r="B3" s="4" t="s">
        <v>868</v>
      </c>
    </row>
    <row r="4" spans="1:2" ht="24">
      <c r="A4" s="4" t="s">
        <v>869</v>
      </c>
      <c r="B4" s="4" t="s">
        <v>870</v>
      </c>
    </row>
    <row r="5" spans="1:2" ht="24">
      <c r="A5" s="4" t="s">
        <v>871</v>
      </c>
      <c r="B5" s="4" t="s">
        <v>872</v>
      </c>
    </row>
    <row r="6" spans="1:2" ht="24">
      <c r="A6" s="4" t="s">
        <v>873</v>
      </c>
      <c r="B6" s="4" t="s">
        <v>874</v>
      </c>
    </row>
    <row r="7" spans="1:2">
      <c r="A7" s="4" t="s">
        <v>875</v>
      </c>
      <c r="B7" s="4" t="s">
        <v>876</v>
      </c>
    </row>
    <row r="8" spans="1:2" ht="24">
      <c r="A8" s="4" t="s">
        <v>877</v>
      </c>
      <c r="B8" s="4" t="s">
        <v>878</v>
      </c>
    </row>
    <row r="9" spans="1:2" ht="24">
      <c r="A9" s="4" t="s">
        <v>879</v>
      </c>
      <c r="B9" s="4" t="s">
        <v>880</v>
      </c>
    </row>
    <row r="10" spans="1:2" ht="24">
      <c r="A10" s="4" t="s">
        <v>881</v>
      </c>
      <c r="B10" s="4" t="s">
        <v>882</v>
      </c>
    </row>
    <row r="11" spans="1:2" ht="24">
      <c r="A11" s="4" t="s">
        <v>883</v>
      </c>
      <c r="B11" s="4" t="s">
        <v>884</v>
      </c>
    </row>
    <row r="12" spans="1:2" ht="24">
      <c r="A12" s="4" t="s">
        <v>885</v>
      </c>
      <c r="B12" s="4" t="s">
        <v>886</v>
      </c>
    </row>
    <row r="13" spans="1:2" ht="24">
      <c r="A13" s="4" t="s">
        <v>887</v>
      </c>
      <c r="B13" s="4" t="s">
        <v>888</v>
      </c>
    </row>
    <row r="14" spans="1:2" ht="24">
      <c r="A14" s="4" t="s">
        <v>889</v>
      </c>
      <c r="B14" s="4" t="s">
        <v>890</v>
      </c>
    </row>
    <row r="15" spans="1:2" ht="24">
      <c r="A15" s="4" t="s">
        <v>891</v>
      </c>
      <c r="B15" s="4" t="s">
        <v>892</v>
      </c>
    </row>
    <row r="16" spans="1:2" ht="24">
      <c r="A16" s="4" t="s">
        <v>893</v>
      </c>
      <c r="B16" s="4" t="s">
        <v>894</v>
      </c>
    </row>
    <row r="17" spans="1:2" ht="24">
      <c r="A17" s="4" t="s">
        <v>895</v>
      </c>
      <c r="B17" s="4" t="s">
        <v>896</v>
      </c>
    </row>
    <row r="18" spans="1:2" ht="24">
      <c r="A18" s="4" t="s">
        <v>897</v>
      </c>
      <c r="B18" s="4" t="s">
        <v>898</v>
      </c>
    </row>
  </sheetData>
  <autoFilter ref="A1:B18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Dados_P1_FSP_2026_Ciro_V3_Hibri</vt:lpstr>
      <vt:lpstr>Planilha2</vt:lpstr>
      <vt:lpstr>Dados brutos atualizados</vt:lpstr>
      <vt:lpstr>Deflatores</vt:lpstr>
      <vt:lpstr>Dados tratados</vt:lpstr>
      <vt:lpstr>IDEB</vt:lpstr>
      <vt:lpstr>Comparação legado</vt:lpstr>
      <vt:lpstr>Registro alterações</vt:lpstr>
      <vt:lpstr>Metadados</vt:lpstr>
      <vt:lpstr>Procedimentos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Windows10</dc:creator>
  <cp:lastModifiedBy>Windows10</cp:lastModifiedBy>
  <dcterms:created xsi:type="dcterms:W3CDTF">2026-10-22T15:14:42Z</dcterms:created>
  <dcterms:modified xsi:type="dcterms:W3CDTF">2026-10-22T15:14:42Z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2026-05-10T00:48:11Z</dcterms:created>
  <dc:creator>Breno Costa</dc:creator>
  <dc:description/>
  <dc:language>en-US</dc:language>
  <cp:lastModifiedBy>Windows10</cp:lastModifiedBy>
  <dcterms:modified xsi:type="dcterms:W3CDTF">2026-10-22T07:57:07Z</dcterms:modified>
  <cp:revision>0</cp:revision>
  <dc:subject/>
  <dc:title/>
</cp:coreProperties>
</file>